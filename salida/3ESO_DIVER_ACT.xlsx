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educajcyl-my.sharepoint.com/personal/angel_parbla_educa_jcyl_es/Documents/2026_2027_Las Salinas/PROGRAMACIONES/"/>
    </mc:Choice>
  </mc:AlternateContent>
  <xr:revisionPtr revIDLastSave="540" documentId="13_ncr:1_{570BE4C9-CEE9-4BD7-9150-98B7E6592950}" xr6:coauthVersionLast="47" xr6:coauthVersionMax="47" xr10:uidLastSave="{999A3DBD-8445-4370-9411-CFCAB785C30C}"/>
  <bookViews>
    <workbookView xWindow="-120" yWindow="-120" windowWidth="29040" windowHeight="15720" activeTab="4" xr2:uid="{00000000-000D-0000-FFFF-FFFF00000000}"/>
  </bookViews>
  <sheets>
    <sheet name="INFORMES" sheetId="12" r:id="rId1"/>
    <sheet name="RESUMEN" sheetId="13" r:id="rId2"/>
    <sheet name="SituacionesAprendizaje" sheetId="4" r:id="rId3"/>
    <sheet name="CriteriosEvaluación" sheetId="11" r:id="rId4"/>
    <sheet name="IndicadoresLogro" sheetId="1" r:id="rId5"/>
    <sheet name="Actividades" sheetId="8" r:id="rId6"/>
    <sheet name="LOMLOE" sheetId="14" r:id="rId7"/>
    <sheet name="TablasAuxiliares" sheetId="2" r:id="rId8"/>
    <sheet name="P_Aula_Datos_Generales" sheetId="15" r:id="rId9"/>
    <sheet name="P_Aula_SA" sheetId="16" r:id="rId10"/>
  </sheets>
  <definedNames>
    <definedName name="_xlcn.WorksheetConnection_BACH2_TIN_Programación.xlsxTablaActividades1" hidden="1">TablaActividades[]</definedName>
    <definedName name="_xlcn.WorksheetConnection_BACH2_TIN_Programación.xlsxTablaCriteriosEvaluacion1" hidden="1">TablaCriteriosEvaluacion[]</definedName>
    <definedName name="_xlcn.WorksheetConnection_BACH2_TIN_Programación.xlsxTablaIndicadoresLogro1" hidden="1">TablaIndicadoresLogro[]</definedName>
    <definedName name="_xlcn.WorksheetConnection_BACH2_TIN_Programación.xlsxtablaSAprendizaje1" hidden="1">tablaSAprendizaje[]</definedName>
    <definedName name="PDIDACTICA" localSheetId="2">TablaIndicadoresLogro[#All]</definedName>
    <definedName name="PDIDACTICA">TablaIndicadoresLogro[#All]</definedName>
    <definedName name="SegmentaciónDeDatos_SA">#N/A</definedName>
  </definedNames>
  <calcPr calcId="191028"/>
  <pivotCaches>
    <pivotCache cacheId="24" r:id="rId11"/>
    <pivotCache cacheId="28" r:id="rId12"/>
    <pivotCache cacheId="31" r:id="rId13"/>
    <pivotCache cacheId="34" r:id="rId14"/>
    <pivotCache cacheId="37" r:id="rId15"/>
  </pivotCaches>
  <extLst>
    <ext xmlns:x14="http://schemas.microsoft.com/office/spreadsheetml/2009/9/main" uri="{876F7934-8845-4945-9796-88D515C7AA90}">
      <x14:pivotCaches>
        <pivotCache cacheId="27"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aSAprendizaje" name="tablaSAprendizaje" connection="WorksheetConnection_BACH2_TIN_Programación.xlsx!tablaSAprendizaje"/>
          <x15:modelTable id="TablaIndicadoresLogro" name="TablaIndicadoresLogro" connection="WorksheetConnection_BACH2_TIN_Programación.xlsx!TablaIndicadoresLogro"/>
          <x15:modelTable id="TablaCriteriosEvaluacion" name="TablaCriteriosEvaluacion" connection="WorksheetConnection_BACH2_TIN_Programación.xlsx!TablaCriteriosEvaluacion"/>
          <x15:modelTable id="TablaActividades" name="TablaActividades" connection="WorksheetConnection_BACH2_TIN_Programación.xlsx!TablaActividades"/>
        </x15:modelTables>
        <x15:modelRelationships>
          <x15:modelRelationship fromTable="TablaActividades" fromColumn="IL" toTable="TablaIndicadoresLogro" toColumn="IL"/>
          <x15:modelRelationship fromTable="TablaIndicadoresLogro" fromColumn="CE" toTable="TablaCriteriosEvaluacion" toColumn="CE"/>
          <x15:modelRelationship fromTable="TablaIndicadoresLogro" fromColumn="SA" toTable="tablaSAprendizaje" toColumn="SA"/>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8" l="1"/>
  <c r="C2" i="8"/>
  <c r="D2" i="8"/>
  <c r="E2" i="8"/>
  <c r="F2" i="8"/>
  <c r="G2" i="8"/>
  <c r="H2" i="8"/>
  <c r="I2" i="8"/>
  <c r="J2" i="8"/>
  <c r="N2" i="8"/>
  <c r="B3" i="8"/>
  <c r="C3" i="8"/>
  <c r="D3" i="8"/>
  <c r="E3" i="8"/>
  <c r="F3" i="8"/>
  <c r="G3" i="8"/>
  <c r="H3" i="8"/>
  <c r="I3" i="8"/>
  <c r="J3" i="8"/>
  <c r="N3" i="8"/>
  <c r="B4" i="8"/>
  <c r="C4" i="8"/>
  <c r="D4" i="8"/>
  <c r="E4" i="8"/>
  <c r="F4" i="8"/>
  <c r="G4" i="8"/>
  <c r="H4" i="8"/>
  <c r="I4" i="8"/>
  <c r="J4" i="8"/>
  <c r="N4" i="8"/>
  <c r="B5" i="8"/>
  <c r="C5" i="8"/>
  <c r="D5" i="8"/>
  <c r="E5" i="8"/>
  <c r="F5" i="8"/>
  <c r="G5" i="8"/>
  <c r="H5" i="8"/>
  <c r="I5" i="8"/>
  <c r="J5" i="8"/>
  <c r="N5" i="8"/>
  <c r="B6" i="8"/>
  <c r="C6" i="8"/>
  <c r="D6" i="8"/>
  <c r="E6" i="8"/>
  <c r="F6" i="8"/>
  <c r="G6" i="8"/>
  <c r="H6" i="8"/>
  <c r="I6" i="8"/>
  <c r="J6" i="8"/>
  <c r="N6" i="8"/>
  <c r="B7" i="8"/>
  <c r="C7" i="8"/>
  <c r="D7" i="8"/>
  <c r="E7" i="8"/>
  <c r="F7" i="8"/>
  <c r="G7" i="8"/>
  <c r="H7" i="8"/>
  <c r="I7" i="8"/>
  <c r="J7" i="8"/>
  <c r="N7" i="8"/>
  <c r="B8" i="8"/>
  <c r="C8" i="8"/>
  <c r="D8" i="8"/>
  <c r="E8" i="8"/>
  <c r="F8" i="8"/>
  <c r="G8" i="8"/>
  <c r="H8" i="8"/>
  <c r="I8" i="8"/>
  <c r="J8" i="8"/>
  <c r="N8" i="8"/>
  <c r="B9" i="8"/>
  <c r="C9" i="8"/>
  <c r="D9" i="8"/>
  <c r="E9" i="8"/>
  <c r="F9" i="8"/>
  <c r="G9" i="8"/>
  <c r="H9" i="8"/>
  <c r="I9" i="8"/>
  <c r="J9" i="8"/>
  <c r="N9" i="8"/>
  <c r="B10" i="8"/>
  <c r="C10" i="8"/>
  <c r="D10" i="8"/>
  <c r="E10" i="8"/>
  <c r="F10" i="8"/>
  <c r="G10" i="8"/>
  <c r="H10" i="8"/>
  <c r="I10" i="8"/>
  <c r="J10" i="8"/>
  <c r="N10" i="8"/>
  <c r="B11" i="8"/>
  <c r="C11" i="8"/>
  <c r="D11" i="8"/>
  <c r="E11" i="8"/>
  <c r="F11" i="8"/>
  <c r="G11" i="8"/>
  <c r="H11" i="8"/>
  <c r="I11" i="8"/>
  <c r="J11" i="8"/>
  <c r="N11" i="8"/>
  <c r="B12" i="8"/>
  <c r="C12" i="8"/>
  <c r="D12" i="8"/>
  <c r="E12" i="8"/>
  <c r="F12" i="8"/>
  <c r="G12" i="8"/>
  <c r="H12" i="8"/>
  <c r="I12" i="8"/>
  <c r="J12" i="8"/>
  <c r="N12" i="8"/>
  <c r="B13" i="8"/>
  <c r="C13" i="8"/>
  <c r="D13" i="8"/>
  <c r="E13" i="8"/>
  <c r="F13" i="8"/>
  <c r="G13" i="8"/>
  <c r="H13" i="8"/>
  <c r="I13" i="8"/>
  <c r="J13" i="8"/>
  <c r="N13" i="8"/>
  <c r="B14" i="8"/>
  <c r="C14" i="8"/>
  <c r="D14" i="8"/>
  <c r="E14" i="8"/>
  <c r="F14" i="8"/>
  <c r="G14" i="8"/>
  <c r="H14" i="8"/>
  <c r="I14" i="8"/>
  <c r="J14" i="8"/>
  <c r="N14" i="8"/>
  <c r="B15" i="8"/>
  <c r="C15" i="8"/>
  <c r="D15" i="8"/>
  <c r="E15" i="8"/>
  <c r="F15" i="8"/>
  <c r="G15" i="8"/>
  <c r="H15" i="8"/>
  <c r="I15" i="8"/>
  <c r="J15" i="8"/>
  <c r="N15" i="8"/>
  <c r="B16" i="8"/>
  <c r="C16" i="8"/>
  <c r="D16" i="8"/>
  <c r="E16" i="8"/>
  <c r="F16" i="8"/>
  <c r="G16" i="8"/>
  <c r="H16" i="8"/>
  <c r="I16" i="8"/>
  <c r="J16" i="8"/>
  <c r="N16" i="8"/>
  <c r="B17" i="8"/>
  <c r="C17" i="8"/>
  <c r="D17" i="8"/>
  <c r="E17" i="8"/>
  <c r="F17" i="8"/>
  <c r="G17" i="8"/>
  <c r="H17" i="8"/>
  <c r="I17" i="8"/>
  <c r="J17" i="8"/>
  <c r="N17" i="8"/>
  <c r="B18" i="8"/>
  <c r="C18" i="8"/>
  <c r="D18" i="8"/>
  <c r="E18" i="8"/>
  <c r="F18" i="8"/>
  <c r="G18" i="8"/>
  <c r="H18" i="8"/>
  <c r="I18" i="8"/>
  <c r="J18" i="8"/>
  <c r="N18" i="8"/>
  <c r="J19" i="8"/>
  <c r="I19" i="8"/>
  <c r="H19" i="8"/>
  <c r="G19" i="8"/>
  <c r="F19" i="8"/>
  <c r="E19" i="8"/>
  <c r="D19" i="8"/>
  <c r="C19" i="8"/>
  <c r="B19" i="8"/>
  <c r="E5" i="1"/>
  <c r="N19" i="8"/>
  <c r="D28" i="11"/>
  <c r="D5" i="11"/>
  <c r="D6" i="11"/>
  <c r="D7" i="11"/>
  <c r="D8" i="11"/>
  <c r="D9" i="11"/>
  <c r="D10" i="11"/>
  <c r="D11" i="11"/>
  <c r="D12" i="11"/>
  <c r="D13" i="11"/>
  <c r="D14" i="11"/>
  <c r="D15" i="11"/>
  <c r="D16" i="11"/>
  <c r="D17" i="11"/>
  <c r="D18" i="11"/>
  <c r="D19" i="11"/>
  <c r="D20" i="11"/>
  <c r="D21" i="11"/>
  <c r="D22" i="11"/>
  <c r="D23" i="11"/>
  <c r="D24" i="11"/>
  <c r="D25" i="11"/>
  <c r="D26" i="11"/>
  <c r="D27" i="11"/>
  <c r="E6" i="1"/>
  <c r="E7" i="1"/>
  <c r="E8" i="1"/>
  <c r="E9" i="1"/>
  <c r="E10" i="1"/>
  <c r="E11" i="1"/>
  <c r="E12" i="1"/>
  <c r="E13" i="1"/>
  <c r="E14" i="1"/>
  <c r="E15" i="1"/>
  <c r="E16" i="1"/>
  <c r="E17" i="1"/>
  <c r="E18" i="1"/>
  <c r="E19" i="1"/>
  <c r="E20" i="1"/>
  <c r="E21" i="1"/>
  <c r="E22" i="1"/>
  <c r="E23" i="1"/>
  <c r="E24" i="1"/>
  <c r="E25" i="1"/>
  <c r="E26" i="1"/>
  <c r="E27" i="1"/>
  <c r="E28" i="1"/>
  <c r="A2" i="13" a="1"/>
  <c r="C2" i="11"/>
  <c r="O4" i="8" l="1"/>
  <c r="O3" i="8"/>
  <c r="O2" i="8"/>
  <c r="O5" i="8"/>
  <c r="O6" i="8"/>
  <c r="O7" i="8"/>
  <c r="O8" i="8"/>
  <c r="O9" i="8"/>
  <c r="O11" i="8"/>
  <c r="O10" i="8"/>
  <c r="O12" i="8"/>
  <c r="O13" i="8"/>
  <c r="O15" i="8"/>
  <c r="O14" i="8"/>
  <c r="O16" i="8"/>
  <c r="O17" i="8"/>
  <c r="O18" i="8"/>
  <c r="O19" i="8"/>
  <c r="B2" i="13" a="1"/>
  <c r="B2" i="13" s="1"/>
  <c r="A2" i="13"/>
  <c r="D2" i="13" s="1" a="1"/>
  <c r="D2" i="13" s="1"/>
  <c r="E2" i="13" a="1"/>
  <c r="E2" i="13" s="1"/>
  <c r="C2" i="13" l="1" a="1"/>
  <c r="C2" i="1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Modelo de datos"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BACH2_TIN_Programación.xlsx!TablaActividades" type="102" refreshedVersion="8" minRefreshableVersion="5">
    <extLst>
      <ext xmlns:x15="http://schemas.microsoft.com/office/spreadsheetml/2010/11/main" uri="{DE250136-89BD-433C-8126-D09CA5730AF9}">
        <x15:connection id="TablaActividades">
          <x15:rangePr sourceName="_xlcn.WorksheetConnection_BACH2_TIN_Programación.xlsxTablaActividades1"/>
        </x15:connection>
      </ext>
    </extLst>
  </connection>
  <connection id="3" xr16:uid="{00000000-0015-0000-FFFF-FFFF02000000}" name="WorksheetConnection_BACH2_TIN_Programación.xlsx!TablaCriteriosEvaluacion" type="102" refreshedVersion="8" minRefreshableVersion="5">
    <extLst>
      <ext xmlns:x15="http://schemas.microsoft.com/office/spreadsheetml/2010/11/main" uri="{DE250136-89BD-433C-8126-D09CA5730AF9}">
        <x15:connection id="TablaCriteriosEvaluacion">
          <x15:rangePr sourceName="_xlcn.WorksheetConnection_BACH2_TIN_Programación.xlsxTablaCriteriosEvaluacion1"/>
        </x15:connection>
      </ext>
    </extLst>
  </connection>
  <connection id="4" xr16:uid="{00000000-0015-0000-FFFF-FFFF03000000}" name="WorksheetConnection_BACH2_TIN_Programación.xlsx!TablaIndicadoresLogro" type="102" refreshedVersion="8" minRefreshableVersion="5">
    <extLst>
      <ext xmlns:x15="http://schemas.microsoft.com/office/spreadsheetml/2010/11/main" uri="{DE250136-89BD-433C-8126-D09CA5730AF9}">
        <x15:connection id="TablaIndicadoresLogro">
          <x15:rangePr sourceName="_xlcn.WorksheetConnection_BACH2_TIN_Programación.xlsxTablaIndicadoresLogro1"/>
        </x15:connection>
      </ext>
    </extLst>
  </connection>
  <connection id="5" xr16:uid="{00000000-0015-0000-FFFF-FFFF04000000}" name="WorksheetConnection_BACH2_TIN_Programación.xlsx!tablaSAprendizaje" type="102" refreshedVersion="8" minRefreshableVersion="5">
    <extLst>
      <ext xmlns:x15="http://schemas.microsoft.com/office/spreadsheetml/2010/11/main" uri="{DE250136-89BD-433C-8126-D09CA5730AF9}">
        <x15:connection id="tablaSAprendizaje">
          <x15:rangePr sourceName="_xlcn.WorksheetConnection_BACH2_TIN_Programación.xlsxtablaSAprendizaje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<sst xmlns="http://schemas.openxmlformats.org/spreadsheetml/2006/main" count="816" uniqueCount="463">
  <si>
    <t>DISTRIBUCIÓN DE PESOS POR CRITERIOS DE EVALUACIÓN</t>
  </si>
  <si>
    <t>Criterios de evaluación</t>
  </si>
  <si>
    <t>Pesos</t>
  </si>
  <si>
    <t>% Peso</t>
  </si>
  <si>
    <t>1.1</t>
  </si>
  <si>
    <t>1.2</t>
  </si>
  <si>
    <t>1.3</t>
  </si>
  <si>
    <t>2.1</t>
  </si>
  <si>
    <t>2.2</t>
  </si>
  <si>
    <t>2.3</t>
  </si>
  <si>
    <t>3.1</t>
  </si>
  <si>
    <t>3.2</t>
  </si>
  <si>
    <t>4.1</t>
  </si>
  <si>
    <t>4.2</t>
  </si>
  <si>
    <t>5.1</t>
  </si>
  <si>
    <t>5.2</t>
  </si>
  <si>
    <t>6.1</t>
  </si>
  <si>
    <t>Total general</t>
  </si>
  <si>
    <t>DISTRIBUCIÓN DE CARGA TEMPORAL POR SITUACIONES DE APRENDIZAJE</t>
  </si>
  <si>
    <t xml:space="preserve"> </t>
  </si>
  <si>
    <t>Etiquetas de fila</t>
  </si>
  <si>
    <t>Porcentaje Horas</t>
  </si>
  <si>
    <t>DISTRIBUCIÓN DE PORCENTAJES POR CRITERIOS DE EVALUACIÓN Y SITUACIONES DE APRENDIZAJE</t>
  </si>
  <si>
    <t>CE</t>
  </si>
  <si>
    <t>SA</t>
  </si>
  <si>
    <t>DISTRIBUCIÓN DE PORCENTAJES POR INSTRUMENTOS DE EVALUACIÓN</t>
  </si>
  <si>
    <t>Medida_porcentajes_IE</t>
  </si>
  <si>
    <t>Portfolio</t>
  </si>
  <si>
    <t>Prueba oral</t>
  </si>
  <si>
    <t>DISTRIBUCIÓN DE PORCENTAJES ACTIVIDADES Y SITUACIÓN DE APRENDIZAJE</t>
  </si>
  <si>
    <t>A</t>
  </si>
  <si>
    <t>DA</t>
  </si>
  <si>
    <t>Valor_actividad_sobre_programación</t>
  </si>
  <si>
    <t>Valor_actividad_sobre_SA</t>
  </si>
  <si>
    <t>%CE</t>
  </si>
  <si>
    <t>CONTENIDOS</t>
  </si>
  <si>
    <t>CT</t>
  </si>
  <si>
    <t>DSA</t>
  </si>
  <si>
    <t>HSA</t>
  </si>
  <si>
    <t>SUMA de Pesos</t>
  </si>
  <si>
    <t>CED</t>
  </si>
  <si>
    <t>P</t>
  </si>
  <si>
    <t>P%</t>
  </si>
  <si>
    <t>IL</t>
  </si>
  <si>
    <t>PIL</t>
  </si>
  <si>
    <t>PIL%</t>
  </si>
  <si>
    <t>DIL</t>
  </si>
  <si>
    <t>DO</t>
  </si>
  <si>
    <t>CON</t>
  </si>
  <si>
    <t>IE</t>
  </si>
  <si>
    <t>CC</t>
  </si>
  <si>
    <t>AE</t>
  </si>
  <si>
    <t>1.1.1</t>
  </si>
  <si>
    <t>Rúbrica</t>
  </si>
  <si>
    <t>HE</t>
  </si>
  <si>
    <t>1.2.1</t>
  </si>
  <si>
    <t>1.3.1</t>
  </si>
  <si>
    <t>2.1.1</t>
  </si>
  <si>
    <t>Baremación</t>
  </si>
  <si>
    <t>CO</t>
  </si>
  <si>
    <t>2.2.1</t>
  </si>
  <si>
    <t>2.3.1</t>
  </si>
  <si>
    <t>3.1.1</t>
  </si>
  <si>
    <t>3.2.1</t>
  </si>
  <si>
    <t>4.1.1</t>
  </si>
  <si>
    <t>4.2.1</t>
  </si>
  <si>
    <t>C.2.3</t>
  </si>
  <si>
    <t>5.1.1</t>
  </si>
  <si>
    <t>5.2.1</t>
  </si>
  <si>
    <t>6.1.1</t>
  </si>
  <si>
    <t>6.2</t>
  </si>
  <si>
    <t>6.2.1</t>
  </si>
  <si>
    <t>waefger</t>
  </si>
  <si>
    <t>PA</t>
  </si>
  <si>
    <t>PA%</t>
  </si>
  <si>
    <t>FACTOR_IDOCEO</t>
  </si>
  <si>
    <t>1.2.1.1</t>
  </si>
  <si>
    <t>DESCRIPCIÓN</t>
  </si>
  <si>
    <t>C.TRASVERSALES</t>
  </si>
  <si>
    <t>A.1.1</t>
  </si>
  <si>
    <t>A.1.2</t>
  </si>
  <si>
    <t>A.1.3</t>
  </si>
  <si>
    <t>A.2.1</t>
  </si>
  <si>
    <t>A.2.2</t>
  </si>
  <si>
    <t>A.2.3</t>
  </si>
  <si>
    <t>A.3.1</t>
  </si>
  <si>
    <t>A.3.2</t>
  </si>
  <si>
    <t>A.3.3</t>
  </si>
  <si>
    <t>A.4.1</t>
  </si>
  <si>
    <t>A.4.2</t>
  </si>
  <si>
    <t>A.4.3</t>
  </si>
  <si>
    <t>B.1.1</t>
  </si>
  <si>
    <t>B.1.2</t>
  </si>
  <si>
    <t>B.1.3</t>
  </si>
  <si>
    <t>B.2.1</t>
  </si>
  <si>
    <t>B.2.2</t>
  </si>
  <si>
    <t>B.2.3</t>
  </si>
  <si>
    <t>B.3.1</t>
  </si>
  <si>
    <t>B.3.2</t>
  </si>
  <si>
    <t>B.3.3</t>
  </si>
  <si>
    <t>C.1.1</t>
  </si>
  <si>
    <t>C.1.2</t>
  </si>
  <si>
    <t>C.1.3</t>
  </si>
  <si>
    <t>C.2.1</t>
  </si>
  <si>
    <t>C.2.2</t>
  </si>
  <si>
    <t>C.3.1</t>
  </si>
  <si>
    <t>C.3.2</t>
  </si>
  <si>
    <t>D.1.1</t>
  </si>
  <si>
    <t>D.1.2</t>
  </si>
  <si>
    <t>D.1.3</t>
  </si>
  <si>
    <t>D.1.4</t>
  </si>
  <si>
    <t>D.2.1</t>
  </si>
  <si>
    <t>D.2.2</t>
  </si>
  <si>
    <t>D.2.3</t>
  </si>
  <si>
    <t>Guía de observación</t>
  </si>
  <si>
    <t>Registro anecdótico</t>
  </si>
  <si>
    <t>Diario del profesor</t>
  </si>
  <si>
    <t>AEV</t>
  </si>
  <si>
    <t>Lista de cotejo</t>
  </si>
  <si>
    <t>Escala de puntos</t>
  </si>
  <si>
    <t>Cuaderno del alumno</t>
  </si>
  <si>
    <t>Proyecto</t>
  </si>
  <si>
    <t>Trabajo de investigación</t>
  </si>
  <si>
    <t>Prueba escrita/digital</t>
  </si>
  <si>
    <t>Prueba práctica</t>
  </si>
  <si>
    <t>2.4</t>
  </si>
  <si>
    <t>3.3</t>
  </si>
  <si>
    <t>3.4</t>
  </si>
  <si>
    <t>3.5</t>
  </si>
  <si>
    <t>5.3</t>
  </si>
  <si>
    <t>6.3</t>
  </si>
  <si>
    <t>6.4</t>
  </si>
  <si>
    <t>7.1</t>
  </si>
  <si>
    <t>7.2</t>
  </si>
  <si>
    <t>Establecer relaciones sociales de colaboración y respeto, gestionando el reparto de las tareas grupales, responsabilizándose de las tareas propias, realizando escucha activa, aceptando críticas, respetando otros puntos de vista y favoreciendo la inclusión. (CCL1, CCL5, CP3, STEM3, STEM5, CPSAA3, CC1, CC2, CC3, CE1, CE3, CCEC1)</t>
  </si>
  <si>
    <t>El trabajo científico: 1. Destrezas científicas: El método científico.</t>
  </si>
  <si>
    <t>El trabajo científico: 1. Destrezas científicas: El lenguaje científico: unidades del Sistema Internacional y sus símbolos.</t>
  </si>
  <si>
    <t>El trabajo científico: 1. Destrezas científicas: Las herramientas digitales y fuentes fidedignas para la búsqueda de información.</t>
  </si>
  <si>
    <t>A.1.4</t>
  </si>
  <si>
    <t>El trabajo científico: 1. Destrezas científicas: Estrategias de interpretación y producción de información científica utilizando diferentes formatos y medios.</t>
  </si>
  <si>
    <t>A.1.5</t>
  </si>
  <si>
    <t>El trabajo científico: 1. Destrezas científicas: Generalización y transferencia de procesos de resolución de problemas a otras situaciones.</t>
  </si>
  <si>
    <t>A.1.6</t>
  </si>
  <si>
    <t>El trabajo científico: 1. Destrezas científicas: Técnicas y métodos de observación y análisis de resultados. Diferenciación entre correlación y causalidad.</t>
  </si>
  <si>
    <t>A.1.7</t>
  </si>
  <si>
    <t>El trabajo científico: 1. Destrezas científicas: Normas de seguridad en el laboratorio: aplicación y valoración de los riesgos.</t>
  </si>
  <si>
    <t>A.1.8</t>
  </si>
  <si>
    <t>El trabajo científico: 1. Destrezas científicas: La contribución de las ciencias al desarrollo del conocimiento humano y de la sociedad. El papel de científicos y científicas.</t>
  </si>
  <si>
    <t>El trabajo científico: 2. Sentido socioafectivo: Esfuerzo y motivación: importancia en el aprendizaje.</t>
  </si>
  <si>
    <t>El trabajo científico: 2. Sentido socioafectivo: Estrategias de fomento de la curiosidad, la iniciativa, la perseverancia y la resiliencia en el aprendizaje.</t>
  </si>
  <si>
    <t>El trabajo científico: 2. Sentido socioafectivo: Fomento de la flexibilidad cognitiva: apertura a cambios de estrategia y transformación del error en oportunidad de aprendizaje.</t>
  </si>
  <si>
    <t>A.2.4</t>
  </si>
  <si>
    <t>El trabajo científico: 2. Sentido socioafectivo: Técnicas cooperativas para optimizar el trabajo en equipo, compartir y construir conocimiento.</t>
  </si>
  <si>
    <t>A.2.5</t>
  </si>
  <si>
    <t>El trabajo científico: 2. Sentido socioafectivo: Conductas empáticas y estrategias de gestión de conflictos.</t>
  </si>
  <si>
    <t>A.2.6</t>
  </si>
  <si>
    <t>El trabajo científico: 2. Sentido socioafectivo: Actitudes inclusivas de aceptación de la diversidad presente en el aula y en la sociedad.</t>
  </si>
  <si>
    <t>El trabajo científico: 3. Sentido numérico: Estrategias de recuento sistemático en situaciones de la vida cotidiana.</t>
  </si>
  <si>
    <t>El trabajo científico: 3. Sentido numérico: Conjuntos numéricos para responder a diferentes necesidades como contar, medir, comparar…</t>
  </si>
  <si>
    <t>El trabajo científico: 3. Sentido numérico: Números racionales en la expresión de cantidades en contextos cotidianos.</t>
  </si>
  <si>
    <t>A.3.4</t>
  </si>
  <si>
    <t>El trabajo científico: 3. Sentido numérico: Diferentes formas de representación de números racionales.</t>
  </si>
  <si>
    <t>A.3.5</t>
  </si>
  <si>
    <t>El trabajo científico: 3. Sentido numérico: Relaciones inversas entre las operaciones: comprensión y utilización en la simplificación y resolución de problemas.</t>
  </si>
  <si>
    <t>A.3.6</t>
  </si>
  <si>
    <t>El trabajo científico: 3. Sentido numérico: Propiedades de las operaciones (suma, resta, multiplicación, división y potenciación): cálculos eficientes con números de forma mental, manual, con calculadora u hoja de cálculo.</t>
  </si>
  <si>
    <t>A.3.7</t>
  </si>
  <si>
    <t>El trabajo científico: 3. Sentido numérico: Formas de representación de una cantidad acorde a cada situación o problema.</t>
  </si>
  <si>
    <t>A.3.8</t>
  </si>
  <si>
    <t>El trabajo científico: 3. Sentido numérico: Patrones y regularidades numéricas.</t>
  </si>
  <si>
    <t>A.3.9</t>
  </si>
  <si>
    <t>El trabajo científico: 3. Sentido numérico: Información numérica e interpretación en contextos financieros sencillos.</t>
  </si>
  <si>
    <t>A.3.10</t>
  </si>
  <si>
    <t>El trabajo científico: 3. Sentido numérico: Métodos para la toma de decisiones de consumo responsable: relaciones calidad-precio y valor-precio en contextos cotidianos.</t>
  </si>
  <si>
    <t>El trabajo científico: 4. Sentido estocástico: Estrategias de recogida y organización de datos de situaciones de la vida cotidiana que involucran una sola variable. Diferencia entre variable y valores individuales.</t>
  </si>
  <si>
    <t>El trabajo científico: 4. Sentido estocástico: Tablas y gráficos estadísticos de variables cualitativas, cuantitativas discretas y continuas en contextos reales. Análisis e interpretación. Representación mediante diferentes tecnologías (calculadora, hoja de cálculo, aplicaciones...).</t>
  </si>
  <si>
    <t>El trabajo científico: 4. Sentido estocástico: Medidas de localización: interpretación y cálculo en situaciones reales.</t>
  </si>
  <si>
    <t>A.4.4</t>
  </si>
  <si>
    <t>El trabajo científico: 4. Sentido estocástico: Variabilidad: interpretación y cálculo de medidas de dispersión en contextos cercanos.</t>
  </si>
  <si>
    <t>A.4.5</t>
  </si>
  <si>
    <t>El trabajo científico: 4. Sentido estocástico: Preguntas para conocer las características de interés de una población.</t>
  </si>
  <si>
    <t>A.4.6</t>
  </si>
  <si>
    <t>El trabajo científico: 4. Sentido estocástico: Datos relevantes para dar respuesta a cuestiones planteadas en investigaciones estadísticas: presentación de la información mediante herramientas digitales.</t>
  </si>
  <si>
    <t>A.4.7</t>
  </si>
  <si>
    <t>El trabajo científico: 4. Sentido estocástico: Estrategias de deducción de conclusiones a partir de una muestra con el fin de emitir juicios y tomar decisiones adecuadas.</t>
  </si>
  <si>
    <t>El Medio Natural: 1. Sentido espacial: Sistemas de representación y localización: coordenadas geométricas.</t>
  </si>
  <si>
    <t>El Medio Natural: 1. Sentido espacial: Transformaciones elementales: giros, traslaciones y simetrías en situaciones diversas utilizando herramientas tecnológicas o manipulativas.</t>
  </si>
  <si>
    <t>El Medio Natural: 1. Sentido espacial: Relaciones geométricas en contextos matemáticos y no matemáticos.</t>
  </si>
  <si>
    <t>El Medio Natural: 2. Geología: Agentes geológicos internos y externos.</t>
  </si>
  <si>
    <t>El Medio Natural: 2. Geología: Modelado del relieve. Factores que condicionan el relieve terrestre.</t>
  </si>
  <si>
    <t>El Medio Natural: 2. Geología: Relieve característico de Castilla y León.</t>
  </si>
  <si>
    <t>El Medio Natural: 3. La materia: Los estados de la materia. Cambios de estado. Disoluciones y gases.</t>
  </si>
  <si>
    <t>El Medio Natural: 3. La materia: Estructura de la materia: átomos y moléculas. Propiedades físicas y químicas.</t>
  </si>
  <si>
    <t>El Medio Natural: 3. La materia: Partículas subatómicas. Carácter eléctrico de la materia. Iones monoatómicos.</t>
  </si>
  <si>
    <t>B.3.4</t>
  </si>
  <si>
    <t>El Medio Natural: 3. La materia: La tabla periódica y su construcción. Elementos metales y no metales.</t>
  </si>
  <si>
    <t>B.3.5</t>
  </si>
  <si>
    <t>El Medio Natural: 3. La materia: Identificación de sustancias simples y compuestos.</t>
  </si>
  <si>
    <t>B.3.6</t>
  </si>
  <si>
    <t>El Medio Natural: 3. La materia: Los cambios en los sistemas materiales: cambios físicos y cambios químicos.</t>
  </si>
  <si>
    <t>Los efectos de la Energía: 1. La Energía: Distintas formas de energía y sus propiedades. Principio de conservación. Experimentación y resolución de problemas en situaciones cotidianas.</t>
  </si>
  <si>
    <t>Los efectos de la Energía: 1. La Energía: El trabajo y el calor como formas de transferencia de energía entre sistemas.</t>
  </si>
  <si>
    <t>Los efectos de la Energía: 1. La Energía: Importancia de la energía en la sociedad, su producción y su uso responsable.</t>
  </si>
  <si>
    <t>Los efectos de la Energía: 2. La energía eléctrica: Los circuitos eléctricos. Conductores y aislantes. Magnitudes de medida.</t>
  </si>
  <si>
    <t>Los efectos de la Energía: 2. La energía eléctrica: Obtención de la energía eléctrica.</t>
  </si>
  <si>
    <t>Los efectos de la Energía: 2. La energía eléctrica: Medición y estimación del coste de la luz de aparatos eléctricos. Medidas para reducir el gasto energético. Ahorro energético y sostenibilidad.</t>
  </si>
  <si>
    <t>C.2.4</t>
  </si>
  <si>
    <t>Los efectos de la Energía: 2. La energía eléctrica: Experimentos eléctricos y magnéticos sencillos.</t>
  </si>
  <si>
    <t>Los efectos de la Energía: 3. La interacción: Movimientos sencillos, las magnitudes cinemáticas y sus relaciones. Formulación de hipótesis sencillas comprobándolas experimentalmente o con simulaciones.</t>
  </si>
  <si>
    <t>Los efectos de la Energía: 3. La interacción: Gráficas que describen el movimiento de un cuerpo.</t>
  </si>
  <si>
    <t>C.4.1</t>
  </si>
  <si>
    <t>Los efectos de la Energía: 4. Sentido algebraico: Patrones, pautas y regularidades: observación y regla de formación en casos sencillos.</t>
  </si>
  <si>
    <t>C.4.2</t>
  </si>
  <si>
    <t>Los efectos de la Energía: 4. Sentido algebraico: Situaciones cotidianas modelizadas usando representaciones matemáticas y el lenguaje algebraico.</t>
  </si>
  <si>
    <t>C.4.3</t>
  </si>
  <si>
    <t>Los efectos de la Energía: 4. Sentido algebraico: Estrategias de deducción de conclusiones razonables a partir de un modelo matemático.</t>
  </si>
  <si>
    <t>C.4.4</t>
  </si>
  <si>
    <t>Los efectos de la Energía: 4. Sentido algebraico: Variable: comprensión del concepto en sus diferentes naturalezas.</t>
  </si>
  <si>
    <t>C.4.5</t>
  </si>
  <si>
    <t>Los efectos de la Energía: 4. Sentido algebraico: Ecuaciones cuadráticas: resolución mediante métodos manuales o tecnológicos.</t>
  </si>
  <si>
    <t>C.4.6</t>
  </si>
  <si>
    <t>Los efectos de la Energía: 4. Sentido algebraico: Estrategias de búsqueda de soluciones en ecuaciones cuadráticas en situaciones de la vida cotidiana.</t>
  </si>
  <si>
    <t>C.4.7</t>
  </si>
  <si>
    <t>Los efectos de la Energía: 4. Sentido algebraico: Relaciones cuantitativas en situaciones cotidianas y clases de funciones que las modelizan.</t>
  </si>
  <si>
    <t>C.4.8</t>
  </si>
  <si>
    <t>Los efectos de la Energía: 4. Sentido algebraico: Funciones cuadráticas: traducción de unas formas de representación a otras y estudio de sus propiedades. Estrategias de deducción de la información relevante.</t>
  </si>
  <si>
    <t>El estudio de los seres vivos: 1. El cuerpo humano: La célula como unidad estructural y funcional de los seres vivos.</t>
  </si>
  <si>
    <t>El estudio de los seres vivos: 1. El cuerpo humano: Las funciones celulares y su relación.</t>
  </si>
  <si>
    <t>El estudio de los seres vivos: 1. El cuerpo humano: La función de nutrición: importancia.</t>
  </si>
  <si>
    <t>El estudio de los seres vivos: 1. El cuerpo humano: Anatomía y fisiología básica de los aparatos digestivo, respiratorio, circulatorio y excretor.</t>
  </si>
  <si>
    <t>D.1.5</t>
  </si>
  <si>
    <t>El estudio de los seres vivos: 1. El cuerpo humano: La función de relación: receptores sensoriales, centros de coordinación y órganos efectores.</t>
  </si>
  <si>
    <t>D.1.6</t>
  </si>
  <si>
    <t>El estudio de los seres vivos: 1. El cuerpo humano: La función de reproducción: anatomía y fisiología básica del aparato reproductor.</t>
  </si>
  <si>
    <t>D.1.7</t>
  </si>
  <si>
    <t>El estudio de los seres vivos: 1. El cuerpo humano: Salud y enfermedad.</t>
  </si>
  <si>
    <t>D.1.8</t>
  </si>
  <si>
    <t>El estudio de los seres vivos: 1. El cuerpo humano: Etiología de las enfermedades infecciosas y no infecciosas. Prevención y tratamientos de las enfermedades infecciosas en función de su agente causal. Uso adecuado de los antibióticos.</t>
  </si>
  <si>
    <t>D.1.9</t>
  </si>
  <si>
    <t>El estudio de los seres vivos: 1. El cuerpo humano: Las barreras del organismo frente a los patógenos (mecánicas, estructurales, bioquímicas y biológicas).</t>
  </si>
  <si>
    <t>D.1.10</t>
  </si>
  <si>
    <t>El estudio de los seres vivos: 1. El cuerpo humano: Mecanismos de defensa del organismo frente a agentes patógenos (barreras externas y sistema inmunitario).</t>
  </si>
  <si>
    <t>D.1.11</t>
  </si>
  <si>
    <t>El estudio de los seres vivos: 1. El cuerpo humano: Las vacunas. Importancia de la vacunación.</t>
  </si>
  <si>
    <t>D.1.12</t>
  </si>
  <si>
    <t>El estudio de los seres vivos: 1. El cuerpo humano: Principales enfermedades asociadas a los aparatos y sistemas implicados en las funciones vitales. Patologías más comunes en Castilla y León.</t>
  </si>
  <si>
    <t>D.1.13</t>
  </si>
  <si>
    <t>El estudio de los seres vivos: 1. El cuerpo humano: Los trasplantes y la donación de órganos. El modelo español de coordinación y trasplantes. Situación de los trasplantes en el SACYL.</t>
  </si>
  <si>
    <t>El estudio de los seres vivos: 2. Hábitos saludables: Dieta saludable: elementos, características e importancia.</t>
  </si>
  <si>
    <t>El estudio de los seres vivos: 2. Hábitos saludables: Dieta mediterránea. Relevancia de la dieta característica de Castilla y León.</t>
  </si>
  <si>
    <t>El estudio de los seres vivos: 2. Hábitos saludables: Sexo y sexualidad. Educación sexual integral: el respeto hacia la libertad, la diversidad sexual y hacia la igualdad de género.</t>
  </si>
  <si>
    <t>D.2.4</t>
  </si>
  <si>
    <t>El estudio de los seres vivos: 2. Hábitos saludables: Importancia de las prácticas sexuales responsables. Infecciones de transmisión sexual y embarazos no deseados. Importancia de su prevención.</t>
  </si>
  <si>
    <t>D.2.5</t>
  </si>
  <si>
    <t>El estudio de los seres vivos: 2. Hábitos saludables: Las drogas legales e ilegales. Efectos perjudiciales sobre la salud.</t>
  </si>
  <si>
    <t>D.2.6</t>
  </si>
  <si>
    <t>El estudio de los seres vivos: 2. Hábitos saludables: Conservación de la salud física, mental y social. Gestión emocional: autoconciencia y autorregulación.</t>
  </si>
  <si>
    <t>Comprensión lectora</t>
  </si>
  <si>
    <t>Emprendimiento social y empresarial</t>
  </si>
  <si>
    <t>Fomento del espíritu crítico y científico</t>
  </si>
  <si>
    <t>Educación emocional y en valores</t>
  </si>
  <si>
    <t>Igualdad de género</t>
  </si>
  <si>
    <t>Creatividad</t>
  </si>
  <si>
    <t>Formación estética</t>
  </si>
  <si>
    <t>Educación para la sostenibilidad y el consumo responsable</t>
  </si>
  <si>
    <t>Respeto mutuo y cooperación entre iguales</t>
  </si>
  <si>
    <t>Tecnologías de la Información y la Comunicación, y su uso ético y responsable</t>
  </si>
  <si>
    <t>Educación para la convivencia escolar proactiva, orientada al respeto de la diversidad como fuente de riqueza</t>
  </si>
  <si>
    <t>Prevención y resolución pacífica de conflictos en todos los ámbitos de la vida personal, familiar y social, así como los valores que sustentan la libertad, la justicia, la igualdad, la paz, la democracia, la pluralidad, el respeto a los derechos humanos y al Estado de derecho, y el rechazo al terrorismo y a cualquier tipo de violencia</t>
  </si>
  <si>
    <t>Valores y oportunidades de la Comunidad de Castilla y León, como una opción favorable para su desarrollo personal y profesional</t>
  </si>
  <si>
    <t>Expresión oral y escrita</t>
  </si>
  <si>
    <t>Comunicación audiovisual</t>
  </si>
  <si>
    <t>Competencia digital</t>
  </si>
  <si>
    <t>Educación para la salud, incluida la afectivo-sexual</t>
  </si>
  <si>
    <t>Identificar situaciones susceptibles de ser interpretadas desde un punto de vista científico-matemático, estableciendo conexiones con el mundo real de forma autónoma. (CCL3, STEM2, CC1)</t>
  </si>
  <si>
    <t>Localizar conceptos e información de carácter científico, seleccionando los datos desde diferentes formatos (texto, gráficos, esquemas, diagramas, modelos, fórmulas, libros, páginas web, …), reconociendo fuentes fiables, contrastando su veracidad y extrayendo la información de mayor interés. (CCL2, CCL3, STEM2, CD1, CD2)</t>
  </si>
  <si>
    <t>Transmitir información científica y matemática con relación a situaciones de la vida cotidiana o de la experimentación, citando fuentes, usando terminología científica adecuada, de modo oral o a través de la creación de textos, modelos, gráficos, tablas, vídeos, informes, diagramas, fórmulas, esquemas, contenidos digitales, simulaciones informáticas,… desde una actitud crítica, formando opiniones propias fundamentadas, valorando las aportaciones propias y colectivas, y evitando la propagación y consolidación de ideas sin fundamento científico, bulos o falsas creencias. (CCL1, CCL2, CCL3, CCL5, STEM2, CD1, CD2, CD3, CPSAA3, CPSAA4, CPSAA5, CC3, CE1, CCEC3, CCEC4)</t>
  </si>
  <si>
    <t>Formular matemáticamente problemas contextualizados, utilizando un lenguaje técnico y simbólico con expresiones propias de las ciencias. (CCL1, CCL2, CCL3, STEM1, STEM2, STEM3, STEM4)</t>
  </si>
  <si>
    <t>Emplear diversos métodos científico-matemático para resolver problemas, usando leyes y teorías científicas, herramientas, estrategias y razonamientos adecuados y eficaces. (CCL3, STEM1, STEM2, STEM3, STEM4, CD1, CD2, CD3, CD5, CC4, CE3, CCEC4)</t>
  </si>
  <si>
    <t>Usar el pensamiento computacional para resolver problemas cotidianos y propios de las ciencias, seleccionando datos, herramientas y estrategias apoyadas en la tecnología, organizando la información y utilizando diferentes algoritmos y modelos matemáticos. (CCL2, CCL3, STEM1, STEM2, STEM3, STEM4, CD1, CD2, CD3, CD5, CE3)</t>
  </si>
  <si>
    <t>Interpretar los resultados obtenidos en la resolución de problemas de la vida cotidiana o de carácter científico, usando diferentes formas de representación y de expresión y valorando tanto su adecuación al contexto en el que se plantearon como su repercusión desde diferentes perspectivas. (CCL1, CCL2, CCL3, STEM1, STEM2, STEM3, STEM4, CD2, CD3, CD5, CC3, CC4, CE1, CE3, CCEC4)</t>
  </si>
  <si>
    <t>Formular preguntas e hipótesis sencillas y coherentes con el conocimiento científico existente, que puedan ser respondidas o contrastadas utilizando la metodología científica de forma guiada mediante el análisis de patrones, propiedades y relaciones. (CCL1, CCL2, CCL3, STEM1, STEM2, CD1, CD2, CE1)</t>
  </si>
  <si>
    <t>Diseñar experimentos, proyectos científicos o de investigación de forma guiada, valorando aquellos que puedan repercutir en la mejora de la sociedad y que creen valor para el individuo y para la comunidad, de acuerdo con leyes y teorías científicas conocidas, para comprobar o refutar las hipótesis formuladas, seleccionando los procedimientos experimentales o deductivos que permitan realizar predicciones, obtener conclusiones y dar respuestas a las preguntas concretas, y validar teorías evitando sesgos. (CCL1, CCL3, STEM1, STEM2, STEM3, STEM5, CD1, CD3, CPSAA4, CE1, CE3)</t>
  </si>
  <si>
    <t>Realizar de forma guiada, experimentos y toma de datos cuantitativos o cualitativos sobre fenómenos científicos o situaciones del entorno, utilizando los instrumentos, herramientas o técnicas adecuadas con corrección, identificando variables, planteando variantes y limitaciones, valorando los riesgos que supone su uso y el posible impacto sobre el entorno. (CCL3, STEM1, STEM2, STEM3, STEM4, STEM5, CD1, CD2, CD3, CPSAA5, CE1, CE3)</t>
  </si>
  <si>
    <t>Interpretar los resultados obtenidos en el proyecto de investigación empleando herramientas matemáticas y tecnológicas adecuadas, para obtener conclusiones razonadas y coherentes. (STEM1, STEM2, STEM4, CD2, CD3, CPSAA4, CE3)</t>
  </si>
  <si>
    <t>Manejar adecuadamente y de forma guiada los materiales de laboratorio, aplicando las normas de seguridad a la hora de realizar un trabajo científico de campo o de laboratorio, valorando los riesgos que supone y asegurando la salud propia y colectiva, la conservación sostenible del medio ambiente y el cuidado de las instalaciones. (STEM1, STEM2, STEM3)</t>
  </si>
  <si>
    <t>Presentar de forma clara la información y las conclusiones obtenidas mediante la experimentación y la investigación, creando materiales diversos, en formatos físicos y digitales (modelos, reproducciones, simulaciones, ...) con un lenguaje matemático y científico adecuado, respetando las ideas y aportaciones de otros interlocutores. (CCL1, CCL3, CCL5, STEM2, STEM4, CD1, CD2, CD3, CD4, CD5, CPSAA3, CE3, CCEC3, CCEC4)</t>
  </si>
  <si>
    <t>Participar en proyectos científicos asumiendo responsablemente una función concreta, aplicando estrategias cooperativas y herramientas digitales de colaboración como medio eficaz de trabajo, demostrando respeto hacia la diversidad, la igualdad de género, equidad, empatía, favoreciendo la inclusión y valorando la repercusión positiva de estos proyectos en la salud propia, colectiva y en el medio ambiente. (CP3, STEM3, STEM4, STEM5, CD3, CPSAA3, CE1, CE3)</t>
  </si>
  <si>
    <t>Reconocer a través del análisis histórico de los avances científicos logrados por hombres y mujeres de ciencia, la aportación de las ciencias al progreso de la humanidad y su contribución actual en los retos tecnológicos, sociales y medioambientales. (CCL2, STEM2, STEM5, CD1, CD2, CC2, CC3, CCEC1, CCEC2)</t>
  </si>
  <si>
    <t>Identificar las conexiones entre las distintas áreas de conocimiento de las ciencias, apoyándose en experiencias previas, para resolver problemas en diferentes contextos de la vida cotidiana. (STEM1, STEM2, CE1, CE3, CCEC1)</t>
  </si>
  <si>
    <t>Resolver situaciones susceptibles de ser formuladas y resueltas mediante procedimientos propios de las ciencias, reconociendo conexiones entre el mundo real y el científico mediante los procesos inherentes a la investigación: inferir, medir, comunicar, clasificar y predecir. (STEM1, STEM2, CD5, CE1)</t>
  </si>
  <si>
    <t>Relacionar empleando fundamentos científicos, la preservación de la biodiversidad y la conservación del medio ambiente, con la protección de los seres vivos, el desarrollo sostenible y la calidad de vida. (CCL3, STEM2, STEM5, CD3, CD4, CPSAA2, CC2, CC4, CE1)</t>
  </si>
  <si>
    <t>Valorar la capacidad de la ciencia para dar una solución sostenible a las necesidades tecnológicas, ambientales, económicas y sociales que demanda la sociedad, tomando conciencia de su repercusión positiva, reflexionando sobre los riesgos naturales y el impacto ambiental derivados de determinadas acciones humanas mediante el análisis de los elementos de un paisaje. (STEM2, STEM5, CD4, CPSAA2, CC3, CE1)</t>
  </si>
  <si>
    <t>Proponer y adoptar hábitos saludables y sostenibles, evaluando con actitud crítica los efectos de determinadas acciones propias y ajenas, y basándose en los propios razonamientos y conocimientos adquiridos y la información disponible dentro del ámbito científico. (CCL3, STEM2, STEM4, STEM5, CD3, CD4, CPSAA2, CC2, CC3, CC4, CE1, CE3)</t>
  </si>
  <si>
    <t>Explicar la historia geológica de un relieve identificando sus elementos más relevantes, y utilizando el razonamiento y los principios geológicos básicos. (STEM1, STEM2, CD5)</t>
  </si>
  <si>
    <t>6.5</t>
  </si>
  <si>
    <t>Conocer, valorar y disfrutar los diferentes recursos biológicos y geológicos del patrimonio natural que ofrece la comunidad de Castilla y León, interpretando su realidad natural mediante el análisis de los elementos de los ecosistemas que lo componen e identificando las actuaciones humanas negativas ejercidas sobres ellos. (CCL2, STEM2, STEM4, STEM5, CC4, CE1, CCEC1, CCEC2)</t>
  </si>
  <si>
    <t>Mostrar una actitud positiva y perseverante hacia el aprendizaje científico-tecnológico, gestionando las propias emociones y buscando el bienestar físico y mental, reflexionando sobre el aprendizaje y valorando las ciencias en el mundo real. (STEM5, CPSAA1, CPSAA2, CPSAA4, CPSAA5, CE1, CE2, CCEC3)</t>
  </si>
  <si>
    <t>2.4.1</t>
  </si>
  <si>
    <t>3.3.1</t>
  </si>
  <si>
    <t>3.4.1</t>
  </si>
  <si>
    <t>3.5.1</t>
  </si>
  <si>
    <t>5.3.1</t>
  </si>
  <si>
    <t>6.3.1</t>
  </si>
  <si>
    <t>6.4.1</t>
  </si>
  <si>
    <t>6.5.1</t>
  </si>
  <si>
    <t>7.1.1</t>
  </si>
  <si>
    <t>7.2.1</t>
  </si>
  <si>
    <t>Números</t>
  </si>
  <si>
    <t>La Organización de la vida</t>
  </si>
  <si>
    <t>Actividad científica y matemática</t>
  </si>
  <si>
    <t>La nutrición</t>
  </si>
  <si>
    <t>La materia</t>
  </si>
  <si>
    <t>Los compuestos químicos</t>
  </si>
  <si>
    <t>Reproducción y relación</t>
  </si>
  <si>
    <t>Geometría I</t>
  </si>
  <si>
    <t>Geometría II</t>
  </si>
  <si>
    <t>Álgebra</t>
  </si>
  <si>
    <t>Funciones</t>
  </si>
  <si>
    <t>Movimiento y fuerzas</t>
  </si>
  <si>
    <t>Energía y electricidad</t>
  </si>
  <si>
    <t>Ecosistemas y modelado del relieve</t>
  </si>
  <si>
    <t>Estadística y probabilidad</t>
  </si>
  <si>
    <t>1: Números</t>
  </si>
  <si>
    <t>10: Álgebra</t>
  </si>
  <si>
    <t>11: Funciones</t>
  </si>
  <si>
    <t>12: Movimiento y fuerzas</t>
  </si>
  <si>
    <t>13: Energía y electricidad</t>
  </si>
  <si>
    <t>14: Ecosistemas y modelado del relieve</t>
  </si>
  <si>
    <t>15: Estadística y probabilidad</t>
  </si>
  <si>
    <t>2: La Organización de la vida</t>
  </si>
  <si>
    <t>3: Actividad científica y matemática</t>
  </si>
  <si>
    <t>4: La nutrición</t>
  </si>
  <si>
    <t>5: La materia</t>
  </si>
  <si>
    <t>6: Los compuestos químicos</t>
  </si>
  <si>
    <t>7: Reproducción y relación</t>
  </si>
  <si>
    <t>8: Geometría I</t>
  </si>
  <si>
    <t>9: Geometría II</t>
  </si>
  <si>
    <t>jgfjghvjkh</t>
  </si>
  <si>
    <t>ry</t>
  </si>
  <si>
    <t>rt</t>
  </si>
  <si>
    <t>Campo</t>
  </si>
  <si>
    <t>Valor</t>
  </si>
  <si>
    <t>materia</t>
  </si>
  <si>
    <t>Tecnología y Digitalización</t>
  </si>
  <si>
    <t>curso</t>
  </si>
  <si>
    <t>3º ESO</t>
  </si>
  <si>
    <t>grupo</t>
  </si>
  <si>
    <t>docente</t>
  </si>
  <si>
    <t>Ángel Pardo</t>
  </si>
  <si>
    <t>numero_alumnos</t>
  </si>
  <si>
    <t>alumnos_atencion_individualizada</t>
  </si>
  <si>
    <t>2 alumnos con adaptación curricular no significativa por dificultades de atención; 1 alumno con altas capacidades.</t>
  </si>
  <si>
    <t>caracteristicas_fisicas_cognitivas_afectivas</t>
  </si>
  <si>
    <t>Grupo heterogéneo con buen clima de aula y alta participación en actividades prácticas. Predomina un perfil visual y manipulativo, con dificultades puntuales para sostener la atención en explicaciones largas.</t>
  </si>
  <si>
    <t>nivel_competencia_curricular</t>
  </si>
  <si>
    <t>En general, el grupo parte de un nivel adecuado a 3º de ESO, si bien un tercio del alumnado muestra carencias en el manejo de hojas de cálculo y en la comprensión de conceptos de programación básica.</t>
  </si>
  <si>
    <t>otras_caracteristicas_grupo</t>
  </si>
  <si>
    <t>Alta motivación hacia contenidos relacionados con inteligencia artificial y videojuegos; menor interés en contenidos más teóricos de bases de datos.</t>
  </si>
  <si>
    <t>resultados_evaluacion_inicial</t>
  </si>
  <si>
    <t>La prueba inicial (10 ítems sobre ofimática, lógica de programación y uso seguro de dispositivos) arroja un grado de adquisición alto o muy alto en el 62% del alumnado, medio en el 25% y bajo en el 13% restante.</t>
  </si>
  <si>
    <t>conclusiones_evaluacion_inicial</t>
  </si>
  <si>
    <t>Se detecta buena base en manejo de dispositivos y aplicaciones básicas, pero es necesario reforzar la lógica de programación por bloques y el vocabulario técnico específico de la materia antes de abordar las situaciones de aprendizaje sobre IA y big data.</t>
  </si>
  <si>
    <t>resultados_evaluacion_aprendizajes</t>
  </si>
  <si>
    <t>[Se completará trimestralmente con los resultados obtenidos en cada situación de aprendizaje]</t>
  </si>
  <si>
    <t>revision_programacion</t>
  </si>
  <si>
    <t>[Se completará al final de cada trimestre con las conclusiones de la revisión de la programación]</t>
  </si>
  <si>
    <t>Situación 1</t>
  </si>
  <si>
    <t>Situación 2</t>
  </si>
  <si>
    <t>titulo</t>
  </si>
  <si>
    <t>trimestre</t>
  </si>
  <si>
    <t>1º trimestre</t>
  </si>
  <si>
    <t>contextualizacion</t>
  </si>
  <si>
    <t>Situación de aprendizaje basada en el reto de diseñar un decálogo de uso ético de la IA para el instituto, a partir del análisis de casos reales de sesgo algorítmico en sistemas de reconocimiento facial y recomendación de contenidos.</t>
  </si>
  <si>
    <t>A partir de un conjunto de datos ficticio de la biblioteca del centro, el alumnado diseña una base de datos relacional sencilla y responde preguntas mediante consultas básicas, introduciendo los conceptos de volumen, variedad y veracidad del big data.</t>
  </si>
  <si>
    <t>contenidos_materia</t>
  </si>
  <si>
    <t>Concepto de IA, aprendizaje automático, sesgos algorítmicos, aplicaciones de la IA en la vida cotidiana.</t>
  </si>
  <si>
    <t>Bases de datos relacionales, consultas SQL básicas, características del big data (las 5V).</t>
  </si>
  <si>
    <t>contenidos_transversales</t>
  </si>
  <si>
    <t>Educación en valores cívicos y éticos; igualdad de género en tecnología.</t>
  </si>
  <si>
    <t>Uso responsable y crítico de la información.</t>
  </si>
  <si>
    <t>aprendizaje_interdisciplinar</t>
  </si>
  <si>
    <t>Valores Cívicos y Éticos (sesgos y discriminación algorítmica).</t>
  </si>
  <si>
    <t>Matemáticas (lógica y conjuntos).</t>
  </si>
  <si>
    <t>metodos</t>
  </si>
  <si>
    <t>Aprendizaje basado en proyectos, debate guiado, clase invertida para los contenidos teóricos.</t>
  </si>
  <si>
    <t>Aprendizaje por descubrimiento guiado, práctica escalonada con ejercicios progresivos.</t>
  </si>
  <si>
    <t>organizacion_alumnado</t>
  </si>
  <si>
    <t>Grupos heterogéneos de 4 alumnos, con roles rotativos.</t>
  </si>
  <si>
    <t>Trabajo individual con puesta en común por parejas.</t>
  </si>
  <si>
    <t>cronograma</t>
  </si>
  <si>
    <t>6 sesiones de 55 minutos, a lo largo de 3 semanas.</t>
  </si>
  <si>
    <t>5 sesiones de 55 minutos.</t>
  </si>
  <si>
    <t>organizacion_espacio</t>
  </si>
  <si>
    <t>Aula ordinaria y aula de informática (sesiones 3 y 4).</t>
  </si>
  <si>
    <t>Aula de informática.</t>
  </si>
  <si>
    <t>materiales_recursos</t>
  </si>
  <si>
    <t>Portátiles del centro, cuestionario Google Forms, artículos periodísticos seleccionados.</t>
  </si>
  <si>
    <t>Editor de bases de datos, dataset de ejemplo, guía de consultas SQL básicas.</t>
  </si>
  <si>
    <t>atencion_diferencias</t>
  </si>
  <si>
    <t>Material de apoyo con esquemas visuales para el alumnado con dificultades de atención; ampliación con lectura de un caso adicional de sesgo algorítmico para el alumno de altas capacidades.</t>
  </si>
  <si>
    <t>Ejercicios graduados en dificultad; plantilla de consulta SQL para el alumnado con más dificultades.</t>
  </si>
  <si>
    <t>medidas_especificas</t>
  </si>
  <si>
    <t>Sin adaptaciones curriculares significativas asociadas a esta situación.</t>
  </si>
  <si>
    <t>proceso_evaluacion</t>
  </si>
  <si>
    <t>Rúbrica de trabajo en grupo (observación directa, sesiones 1-5) y coevaluación del decálogo final (sesión 6); el profesorado valora individualmente la participación en el debate.</t>
  </si>
  <si>
    <t>Prueba práctica individual de consultas SQL (sesión 5) y observación del trabajo diario mediante lista de control.</t>
  </si>
  <si>
    <t>puesta_en_practica</t>
  </si>
  <si>
    <t>Sesión 1 (16/09/2026): presentación del reto y lluvia de ideas inicial.
Sesión 2 (18/09/2026): visionado de casos de sesgo algorítmico y análisis en grupo. 
Sesión 3-4 (23-25/09/2026): investigación guiada en aula de informática. 
Sesión 5 (30/09/2026): elaboración del decálogo. 
Sesión 6 (02/10/2026): exposición y debate final.</t>
  </si>
  <si>
    <t>Sesión 1 (07/10/2026): introducción a las bases de datos relacionales. Sesión 2-3 (09-14/10/2026): diseño de tablas y relaciones. Sesión 4 (16/10/2026): consultas SQL básicas. Sesión 5 (21/10/2026): prueba práctica.</t>
  </si>
  <si>
    <t>valoracion</t>
  </si>
  <si>
    <t>[Se completará tras la puesta en práctica: grado de consecución, incidencias y propuestas de mejora]</t>
  </si>
  <si>
    <t>ejemploSA</t>
  </si>
  <si>
    <t>Parte de ejemplo 1</t>
  </si>
  <si>
    <t>P@arte de ejemplo2</t>
  </si>
  <si>
    <t>Situación 3</t>
  </si>
  <si>
    <t>Situación 4</t>
  </si>
  <si>
    <t>Situación 5</t>
  </si>
  <si>
    <t>Situación 6</t>
  </si>
  <si>
    <t>Situación 7</t>
  </si>
  <si>
    <t>Situación 8</t>
  </si>
  <si>
    <t>Situación 9</t>
  </si>
  <si>
    <t>Situación 10</t>
  </si>
  <si>
    <t>Situación 11</t>
  </si>
  <si>
    <t>Situación 12</t>
  </si>
  <si>
    <t>Situación 13</t>
  </si>
  <si>
    <t>Situación 14</t>
  </si>
  <si>
    <t>Situación 15</t>
  </si>
  <si>
    <t>Actividad muy bonita 1</t>
  </si>
  <si>
    <t>Actividad muy bonita 2</t>
  </si>
  <si>
    <t>Actividad muy bonita 3</t>
  </si>
  <si>
    <t>Actividad muy bonita 4</t>
  </si>
  <si>
    <t>Actividad muy bonita 5</t>
  </si>
  <si>
    <t>Actividad muy bonita 6</t>
  </si>
  <si>
    <t>Actividad muy bonita 7</t>
  </si>
  <si>
    <t>Actividad muy bonita 8</t>
  </si>
  <si>
    <t>Actividad muy bonita 9</t>
  </si>
  <si>
    <t>Actividad muy bonita 10</t>
  </si>
  <si>
    <t>Actividad muy bonita 11</t>
  </si>
  <si>
    <t>Actividad muy bonita 12</t>
  </si>
  <si>
    <t>Actividad muy bonita 13</t>
  </si>
  <si>
    <t>Actividad muy bonita 14</t>
  </si>
  <si>
    <t>Actividad muy bonita 15</t>
  </si>
  <si>
    <t>Actividad muy bonita 16</t>
  </si>
  <si>
    <t>Actividad muy bonita 17</t>
  </si>
  <si>
    <t>Actividad muy bonita 18</t>
  </si>
  <si>
    <t>Diver</t>
  </si>
  <si>
    <t>(en blanco)</t>
  </si>
  <si>
    <t>1.1.1.1</t>
  </si>
  <si>
    <t>1.3.1.1</t>
  </si>
  <si>
    <t>2.1.1.1</t>
  </si>
  <si>
    <t>2.3.1.1</t>
  </si>
  <si>
    <t>7.1.1.1</t>
  </si>
  <si>
    <t>5.3.1.1</t>
  </si>
  <si>
    <t>6.3.1.1</t>
  </si>
  <si>
    <t>3.1.1.1</t>
  </si>
  <si>
    <t>3.2.1.1</t>
  </si>
  <si>
    <t>3.3.1.1</t>
  </si>
  <si>
    <t>5.2.1.1</t>
  </si>
  <si>
    <t>2.4.1.1</t>
  </si>
  <si>
    <t>2.2.1.1</t>
  </si>
  <si>
    <t>4.1.1.1</t>
  </si>
  <si>
    <t>6.1.1.1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</si>
</sst>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8"/>
      <name val="Calibri"/>
      <family val="2"/>
      <scheme val="minor"/>
    </font>
    <font>
      <b/>
      <sz val="11"/>
      <color theme="1"/>
      <name val="Calibri"/>
      <family val="2"/>
      <scheme val="minor"/>
    </font>
    <font>
      <b/>
      <sz val="14"/>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rgb="FFFFFF00"/>
        <bgColor indexed="64"/>
      </patternFill>
    </fill>
    <fill>
      <patternFill patternType="solid">
        <fgColor theme="1"/>
        <bgColor indexed="64"/>
      </patternFill>
    </fill>
    <fill>
      <patternFill patternType="solid">
        <fgColor theme="8" tint="0.39997558519241921"/>
        <bgColor indexed="64"/>
      </patternFill>
    </fill>
  </fills>
  <borders count="4">
    <border>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wrapText="1"/>
    </xf>
    <xf numFmtId="49"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0" fontId="0" fillId="0" borderId="0" xfId="0" applyProtection="1">
      <protection locked="0"/>
    </xf>
    <xf numFmtId="0" fontId="0" fillId="2" borderId="0" xfId="0" applyFill="1"/>
    <xf numFmtId="0" fontId="3" fillId="3" borderId="1" xfId="0" applyFont="1" applyFill="1" applyBorder="1" applyAlignment="1">
      <alignment horizontal="center" vertical="center"/>
    </xf>
    <xf numFmtId="0" fontId="3" fillId="0" borderId="2" xfId="0" applyFont="1" applyBorder="1" applyAlignment="1">
      <alignment horizontal="center" vertical="center"/>
    </xf>
    <xf numFmtId="0" fontId="4" fillId="4" borderId="3" xfId="0" applyFont="1" applyFill="1" applyBorder="1" applyAlignment="1">
      <alignment horizontal="center" vertical="center"/>
    </xf>
    <xf numFmtId="10" fontId="4" fillId="4" borderId="3" xfId="0" applyNumberFormat="1" applyFont="1" applyFill="1" applyBorder="1" applyAlignment="1">
      <alignment horizontal="center" vertical="center"/>
    </xf>
    <xf numFmtId="0" fontId="0" fillId="0" borderId="3" xfId="0" applyBorder="1"/>
    <xf numFmtId="10" fontId="0" fillId="0" borderId="3" xfId="0" applyNumberFormat="1" applyBorder="1"/>
    <xf numFmtId="0" fontId="2" fillId="5" borderId="3" xfId="0" applyFont="1" applyFill="1" applyBorder="1"/>
    <xf numFmtId="0" fontId="2" fillId="5" borderId="3" xfId="0" applyFont="1" applyFill="1" applyBorder="1" applyAlignment="1">
      <alignment wrapText="1"/>
    </xf>
    <xf numFmtId="0" fontId="0" fillId="0" borderId="3" xfId="0" applyBorder="1" applyAlignment="1">
      <alignment wrapText="1"/>
    </xf>
    <xf numFmtId="0" fontId="0" fillId="0" borderId="0" xfId="0" applyNumberFormat="1" applyProtection="1"/>
    <xf numFmtId="10" fontId="0" fillId="0" borderId="0" xfId="0" applyNumberFormat="1" applyProtection="1">
      <protection locked="0"/>
    </xf>
    <xf numFmtId="0" fontId="0" fillId="0" borderId="0" xfId="0" applyNumberFormat="1"/>
  </cellXfs>
  <cellStyles count="1">
    <cellStyle name="Normal" xfId="0" builtinId="0"/>
  </cellStyles>
  <dxfs count="43">
    <dxf>
      <numFmt numFmtId="14" formatCode="0.00%"/>
    </dxf>
    <dxf>
      <numFmt numFmtId="14" formatCode="0.00%"/>
    </dxf>
    <dxf>
      <numFmt numFmtId="14" formatCode="0.00%"/>
    </dxf>
    <dxf>
      <numFmt numFmtId="14" formatCode="0.00%"/>
    </dxf>
    <dxf>
      <numFmt numFmtId="14" formatCode="0.00%"/>
    </dxf>
    <dxf>
      <font>
        <b/>
        <i val="0"/>
      </font>
      <fill>
        <patternFill>
          <bgColor theme="9" tint="0.39994506668294322"/>
        </patternFill>
      </fill>
    </dxf>
    <dxf>
      <font>
        <b/>
        <i val="0"/>
      </font>
      <fill>
        <patternFill>
          <bgColor theme="9" tint="0.39994506668294322"/>
        </patternFill>
      </fill>
    </dxf>
    <dxf>
      <numFmt numFmtId="14" formatCode="0.00%"/>
    </dxf>
    <dxf>
      <numFmt numFmtId="14" formatCode="0.00%"/>
    </dxf>
    <dxf>
      <numFmt numFmtId="14" formatCode="0.00%"/>
    </dxf>
    <dxf>
      <numFmt numFmtId="14" formatCode="0.00%"/>
    </dxf>
    <dxf>
      <numFmt numFmtId="14" formatCode="0.0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alignment horizontal="general" vertical="bottom" textRotation="0" wrapText="1" indent="0" justifyLastLine="0" shrinkToFit="0" readingOrder="0"/>
    </dxf>
    <dxf>
      <alignment horizontal="general" vertical="bottom" textRotation="0" wrapText="1" indent="0" justifyLastLine="0" shrinkToFit="0" readingOrder="0"/>
    </dxf>
    <dxf>
      <numFmt numFmtId="14" formatCode="0.0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protection locked="1" hidden="0"/>
    </dxf>
    <dxf>
      <numFmt numFmtId="14" formatCode="0.00%"/>
      <protection locked="0" hidden="0"/>
    </dxf>
    <dxf>
      <protection locked="0" hidden="0"/>
    </dxf>
    <dxf>
      <protection locked="0" hidden="0"/>
    </dxf>
    <dxf>
      <protection locked="0"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numFmt numFmtId="0" formatCode="General"/>
      <protection locked="1" hidden="0"/>
    </dxf>
    <dxf>
      <protection locked="0" hidden="0"/>
    </dxf>
    <dxf>
      <protection locked="0" hidden="0"/>
    </dxf>
    <dxf>
      <protection locked="0" hidden="0"/>
    </dxf>
  </dxfs>
  <tableStyles count="0" defaultTableStyle="TableStyleMedium2" defaultPivotStyle="PivotStyleLight16"/>
  <colors>
    <mruColors>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theme" Target="theme/theme1.xml"/><Relationship Id="rId26" Type="http://schemas.openxmlformats.org/officeDocument/2006/relationships/powerPivotData" Target="model/item.data"/><Relationship Id="rId39" Type="http://schemas.openxmlformats.org/officeDocument/2006/relationships/customXml" Target="../customXml/item12.xml"/><Relationship Id="rId21" Type="http://schemas.openxmlformats.org/officeDocument/2006/relationships/sharedStrings" Target="sharedStrings.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customXml" Target="../customXml/item2.xml"/><Relationship Id="rId11" Type="http://schemas.openxmlformats.org/officeDocument/2006/relationships/pivotCacheDefinition" Target="pivotCache/pivotCacheDefinition1.xml"/><Relationship Id="rId24" Type="http://schemas.microsoft.com/office/2017/06/relationships/rdRichValueStructure" Target="richData/rdrichvaluestructure.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5" Type="http://schemas.openxmlformats.org/officeDocument/2006/relationships/worksheet" Target="worksheets/sheet5.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microsoft.com/office/2007/relationships/slicerCache" Target="slicerCaches/slicerCache1.xml"/><Relationship Id="rId25" Type="http://schemas.microsoft.com/office/2017/06/relationships/rdRichValueTypes" Target="richData/rdRichValueTyp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styles" Target="styles.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microsoft.com/office/2017/06/relationships/rdRichValue" Target="richData/rdrichvalue.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worksheet" Target="worksheets/sheet10.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[3ESO_DIVER_ACT.xlsx]INFORMES!TablaDinámica4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INFORMES!$C$73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109-4DB0-A5DF-F125BA6C38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109-4DB0-A5DF-F125BA6C38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09-4DB0-A5DF-F125BA6C38D5}"/>
              </c:ext>
            </c:extLst>
          </c:dPt>
          <c:cat>
            <c:strRef>
              <c:f>INFORMES!$B$74:$B$76</c:f>
              <c:strCache>
                <c:ptCount val="2"/>
                <c:pt idx="0">
                  <c:v>(en blanco)</c:v>
                </c:pt>
                <c:pt idx="1">
                  <c:v>Portfolio</c:v>
                </c:pt>
              </c:strCache>
            </c:strRef>
          </c:cat>
          <c:val>
            <c:numRef>
              <c:f>INFORMES!$C$74:$C$76</c:f>
              <c:numCache>
                <c:formatCode>0.00%</c:formatCode>
                <c:ptCount val="2"/>
                <c:pt idx="0">
                  <c:v>0.95833333333333293</c:v>
                </c:pt>
                <c:pt idx="1">
                  <c:v>4.1666666666666664E-2</c:v>
                </c:pt>
              </c:numCache>
            </c:numRef>
          </c:val>
          <c:extLst>
            <c:ext xmlns:c16="http://schemas.microsoft.com/office/drawing/2014/chart" uri="{C3380CC4-5D6E-409C-BE32-E72D297353CC}">
              <c16:uniqueId val="{00000000-50CB-4047-9472-0D8F4D695B3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[3ESO_DIVER_ACT.xlsx]INFORMES!TablaDinámica1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INFORMES!$C$34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D9-4D5D-8CDD-83256FB0CA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D9-4D5D-8CDD-83256FB0CA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D9-4D5D-8CDD-83256FB0CA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D9-4D5D-8CDD-83256FB0CA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D9-4D5D-8CDD-83256FB0CA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2D9-4D5D-8CDD-83256FB0CA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2D9-4D5D-8CDD-83256FB0CA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2D9-4D5D-8CDD-83256FB0CAE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2D9-4D5D-8CDD-83256FB0CAE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2D9-4D5D-8CDD-83256FB0CAE7}"/>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2D9-4D5D-8CDD-83256FB0CAE7}"/>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FE9-443D-966F-62A41FFD8F2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FE9-443D-966F-62A41FFD8F22}"/>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FE9-443D-966F-62A41FFD8F22}"/>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FE9-443D-966F-62A41FFD8F22}"/>
              </c:ext>
            </c:extLst>
          </c:dPt>
          <c:cat>
            <c:strRef>
              <c:f>INFORMES!$B$35:$B$50</c:f>
              <c:strCache>
                <c:ptCount val="15"/>
                <c:pt idx="0">
                  <c:v>1: Números</c:v>
                </c:pt>
                <c:pt idx="1">
                  <c:v>10: Álgebra</c:v>
                </c:pt>
                <c:pt idx="2">
                  <c:v>11: Funciones</c:v>
                </c:pt>
                <c:pt idx="3">
                  <c:v>12: Movimiento y fuerzas</c:v>
                </c:pt>
                <c:pt idx="4">
                  <c:v>13: Energía y electricidad</c:v>
                </c:pt>
                <c:pt idx="5">
                  <c:v>14: Ecosistemas y modelado del relieve</c:v>
                </c:pt>
                <c:pt idx="6">
                  <c:v>15: Estadística y probabilidad</c:v>
                </c:pt>
                <c:pt idx="7">
                  <c:v>2: La Organización de la vida</c:v>
                </c:pt>
                <c:pt idx="8">
                  <c:v>3: Actividad científica y matemática</c:v>
                </c:pt>
                <c:pt idx="9">
                  <c:v>4: La nutrición</c:v>
                </c:pt>
                <c:pt idx="10">
                  <c:v>5: La materia</c:v>
                </c:pt>
                <c:pt idx="11">
                  <c:v>6: Los compuestos químicos</c:v>
                </c:pt>
                <c:pt idx="12">
                  <c:v>7: Reproducción y relación</c:v>
                </c:pt>
                <c:pt idx="13">
                  <c:v>8: Geometría I</c:v>
                </c:pt>
                <c:pt idx="14">
                  <c:v>9: Geometría II</c:v>
                </c:pt>
              </c:strCache>
            </c:strRef>
          </c:cat>
          <c:val>
            <c:numRef>
              <c:f>INFORMES!$C$35:$C$50</c:f>
              <c:numCache>
                <c:formatCode>0.00%</c:formatCode>
                <c:ptCount val="15"/>
                <c:pt idx="0">
                  <c:v>7.8125E-2</c:v>
                </c:pt>
                <c:pt idx="1">
                  <c:v>5.859375E-2</c:v>
                </c:pt>
                <c:pt idx="2">
                  <c:v>3.90625E-2</c:v>
                </c:pt>
                <c:pt idx="3">
                  <c:v>5.859375E-2</c:v>
                </c:pt>
                <c:pt idx="4">
                  <c:v>3.90625E-2</c:v>
                </c:pt>
                <c:pt idx="5">
                  <c:v>3.90625E-2</c:v>
                </c:pt>
                <c:pt idx="6">
                  <c:v>1.953125E-2</c:v>
                </c:pt>
                <c:pt idx="7">
                  <c:v>7.8125E-2</c:v>
                </c:pt>
                <c:pt idx="8">
                  <c:v>5.859375E-2</c:v>
                </c:pt>
                <c:pt idx="9">
                  <c:v>6.25E-2</c:v>
                </c:pt>
                <c:pt idx="10">
                  <c:v>7.8125E-2</c:v>
                </c:pt>
                <c:pt idx="11">
                  <c:v>9.765625E-2</c:v>
                </c:pt>
                <c:pt idx="12">
                  <c:v>9.765625E-2</c:v>
                </c:pt>
                <c:pt idx="13">
                  <c:v>9.765625E-2</c:v>
                </c:pt>
                <c:pt idx="14">
                  <c:v>9.765625E-2</c:v>
                </c:pt>
              </c:numCache>
            </c:numRef>
          </c:val>
          <c:extLst>
            <c:ext xmlns:c16="http://schemas.microsoft.com/office/drawing/2014/chart" uri="{C3380CC4-5D6E-409C-BE32-E72D297353CC}">
              <c16:uniqueId val="{00000000-F436-4823-96E5-933FFFCC1E7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1282184690528108"/>
          <c:y val="0.18336614173228347"/>
          <c:w val="0.36733272252077098"/>
          <c:h val="0.785441455234762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412836</xdr:colOff>
      <xdr:row>93</xdr:row>
      <xdr:rowOff>147227</xdr:rowOff>
    </xdr:from>
    <xdr:to>
      <xdr:col>7</xdr:col>
      <xdr:colOff>695225</xdr:colOff>
      <xdr:row>107</xdr:row>
      <xdr:rowOff>4352</xdr:rowOff>
    </xdr:to>
    <mc:AlternateContent xmlns:mc="http://schemas.openxmlformats.org/markup-compatibility/2006" xmlns:a14="http://schemas.microsoft.com/office/drawing/2010/main">
      <mc:Choice Requires="a14">
        <xdr:graphicFrame macro="">
          <xdr:nvGraphicFramePr>
            <xdr:cNvPr id="2" name="SA">
              <a:extLst>
                <a:ext uri="{FF2B5EF4-FFF2-40B4-BE49-F238E27FC236}">
                  <a16:creationId xmlns:a16="http://schemas.microsoft.com/office/drawing/2014/main" id="{8FDDB41A-561D-B6BC-350D-FA52C45CE6A4}"/>
                </a:ext>
              </a:extLst>
            </xdr:cNvPr>
            <xdr:cNvGraphicFramePr/>
          </xdr:nvGraphicFramePr>
          <xdr:xfrm>
            <a:off x="0" y="0"/>
            <a:ext cx="0" cy="0"/>
          </xdr:xfrm>
          <a:graphic>
            <a:graphicData uri="http://schemas.microsoft.com/office/drawing/2010/slicer">
              <sle:slicer xmlns:sle="http://schemas.microsoft.com/office/drawing/2010/slicer" name="SA"/>
            </a:graphicData>
          </a:graphic>
        </xdr:graphicFrame>
      </mc:Choice>
      <mc:Fallback xmlns="">
        <xdr:sp macro="" textlink="">
          <xdr:nvSpPr>
            <xdr:cNvPr id="0" name=""/>
            <xdr:cNvSpPr>
              <a:spLocks noTextEdit="1"/>
            </xdr:cNvSpPr>
          </xdr:nvSpPr>
          <xdr:spPr>
            <a:xfrm>
              <a:off x="7194636" y="17863727"/>
              <a:ext cx="1806389" cy="2524125"/>
            </a:xfrm>
            <a:prstGeom prst="rect">
              <a:avLst/>
            </a:prstGeom>
            <a:solidFill>
              <a:prstClr val="white"/>
            </a:solidFill>
            <a:ln w="1">
              <a:solidFill>
                <a:prstClr val="green"/>
              </a:solidFill>
            </a:ln>
          </xdr:spPr>
          <xdr:txBody>
            <a:bodyPr vertOverflow="clip" horzOverflow="clip"/>
            <a:lstStyle/>
            <a:p>
              <a:r>
                <a:rPr lang="es-ES"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3</xdr:col>
      <xdr:colOff>978355</xdr:colOff>
      <xdr:row>71</xdr:row>
      <xdr:rowOff>166008</xdr:rowOff>
    </xdr:from>
    <xdr:to>
      <xdr:col>9</xdr:col>
      <xdr:colOff>194584</xdr:colOff>
      <xdr:row>87</xdr:row>
      <xdr:rowOff>82998</xdr:rowOff>
    </xdr:to>
    <xdr:graphicFrame macro="">
      <xdr:nvGraphicFramePr>
        <xdr:cNvPr id="3" name="Gráfico 2">
          <a:extLst>
            <a:ext uri="{FF2B5EF4-FFF2-40B4-BE49-F238E27FC236}">
              <a16:creationId xmlns:a16="http://schemas.microsoft.com/office/drawing/2014/main" id="{0680ABAE-DA19-0283-2973-E207658ACBEA}"/>
            </a:ext>
            <a:ext uri="{147F2762-F138-4A5C-976F-8EAC2B608ADB}">
              <a16:predDERef xmlns:a16="http://schemas.microsoft.com/office/drawing/2014/main" pred="{8FDDB41A-561D-B6BC-350D-FA52C45CE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1975757</xdr:colOff>
      <xdr:row>28</xdr:row>
      <xdr:rowOff>131988</xdr:rowOff>
    </xdr:from>
    <xdr:to>
      <xdr:col>11</xdr:col>
      <xdr:colOff>600075</xdr:colOff>
      <xdr:row>53</xdr:row>
      <xdr:rowOff>76200</xdr:rowOff>
    </xdr:to>
    <xdr:graphicFrame macro="">
      <xdr:nvGraphicFramePr>
        <xdr:cNvPr id="4" name="Gráfico 3">
          <a:extLst>
            <a:ext uri="{FF2B5EF4-FFF2-40B4-BE49-F238E27FC236}">
              <a16:creationId xmlns:a16="http://schemas.microsoft.com/office/drawing/2014/main" id="{E480EDE4-C39E-6F9A-287E-B048E2A70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Ángel Pardos Blas" refreshedDate="46240.350445138887" createdVersion="5" refreshedVersion="8" minRefreshableVersion="3" recordCount="0" supportSubquery="1" supportAdvancedDrill="1" xr:uid="{B16E5BD6-4A62-4001-9D92-2BA1FD1A3F61}">
  <cacheSource type="external" connectionId="1"/>
  <cacheFields count="3">
    <cacheField name="[TablaCriteriosEvaluacion].[CE].[CE]" caption="CE" numFmtId="0" hierarchy="15" level="1">
      <sharedItems count="24">
        <s v="1.1"/>
        <s v="1.2"/>
        <s v="1.3"/>
        <s v="2.1"/>
        <s v="2.2"/>
        <s v="2.3"/>
        <s v="2.4"/>
        <s v="3.1"/>
        <s v="3.2"/>
        <s v="3.3"/>
        <s v="3.4"/>
        <s v="3.5"/>
        <s v="4.1"/>
        <s v="4.2"/>
        <s v="5.1"/>
        <s v="5.2"/>
        <s v="5.3"/>
        <s v="6.1"/>
        <s v="6.2"/>
        <s v="6.3"/>
        <s v="6.4"/>
        <s v="6.5"/>
        <s v="7.1"/>
        <s v="7.2"/>
      </sharedItems>
    </cacheField>
    <cacheField name="[Measures].[Suma de P]" caption="Suma de P" numFmtId="0" hierarchy="38" level="32767"/>
    <cacheField name="Unsupported0" numFmtId="0" hierarchy="49" level="32767">
      <extLst>
        <ext xmlns:x14="http://schemas.microsoft.com/office/spreadsheetml/2009/9/main" uri="{63CAB8AC-B538-458d-9737-405883B0398D}">
          <x14:cacheField ignore="1"/>
        </ext>
      </extLst>
    </cacheField>
  </cacheFields>
  <cacheHierarchies count="50">
    <cacheHierarchy uniqueName="[TablaActividades].[IL]" caption="IL" attribute="1" defaultMemberUniqueName="[TablaActividades].[IL].[All]" allUniqueName="[TablaActividades].[IL].[All]" dimensionUniqueName="[TablaActividades]" displayFolder="" count="0" memberValueDatatype="130" unbalanced="0"/>
    <cacheHierarchy uniqueName="[TablaActividades].[PIL]" caption="PIL" attribute="1" defaultMemberUniqueName="[TablaActividades].[PIL].[All]" allUniqueName="[TablaActividades].[PIL].[All]" dimensionUniqueName="[TablaActividades]" displayFolder="" count="0" memberValueDatatype="20" unbalanced="0"/>
    <cacheHierarchy uniqueName="[TablaActividades].[DIL]" caption="DIL" attribute="1" defaultMemberUniqueName="[TablaActividades].[DIL].[All]" allUniqueName="[TablaActividades].[DIL].[All]" dimensionUniqueName="[TablaActividades]" displayFolder="" count="0" memberValueDatatype="130" unbalanced="0"/>
    <cacheHierarchy uniqueName="[TablaActividades].[DO]" caption="DO" attribute="1" defaultMemberUniqueName="[TablaActividades].[DO].[All]" allUniqueName="[TablaActividades].[DO].[All]" dimensionUniqueName="[TablaActividades]" displayFolder="" count="0" memberValueDatatype="130" unbalanced="0"/>
    <cacheHierarchy uniqueName="[TablaActividades].[CON]" caption="CON" attribute="1" defaultMemberUniqueName="[TablaActividades].[CON].[All]" allUniqueName="[TablaActividades].[CON].[All]" dimensionUniqueName="[TablaActividades]" displayFolder="" count="0" memberValueDatatype="130" unbalanced="0"/>
    <cacheHierarchy uniqueName="[TablaActividades].[CT]" caption="CT" attribute="1" defaultMemberUniqueName="[TablaActividades].[CT].[All]" allUniqueName="[TablaActividades].[CT].[All]" dimensionUniqueName="[TablaActividades]" displayFolder="" count="0" memberValueDatatype="20" unbalanced="0"/>
    <cacheHierarchy uniqueName="[TablaActividades].[IE]" caption="IE" attribute="1" defaultMemberUniqueName="[TablaActividades].[IE].[All]" allUniqueName="[TablaActividades].[IE].[All]" dimensionUniqueName="[TablaActividades]" displayFolder="" count="0" memberValueDatatype="130" unbalanced="0"/>
    <cacheHierarchy uniqueName="[TablaActividades].[CC]" caption="CC" attribute="1" defaultMemberUniqueName="[TablaActividades].[CC].[All]" allUniqueName="[TablaActividades].[CC].[All]" dimensionUniqueName="[TablaActividades]" displayFolder="" count="0" memberValueDatatype="130" unbalanced="0"/>
    <cacheHierarchy uniqueName="[TablaActividades].[AE]" caption="AE" attribute="1" defaultMemberUniqueName="[TablaActividades].[AE].[All]" allUniqueName="[TablaActividades].[AE].[All]" dimensionUniqueName="[TablaActividades]" displayFolder="" count="0" memberValueDatatype="130" unbalanced="0"/>
    <cacheHierarchy uniqueName="[TablaActividades].[SA]" caption="SA" attribute="1" defaultMemberUniqueName="[TablaActividades].[SA].[All]" allUniqueName="[TablaActividades].[SA].[All]" dimensionUniqueName="[TablaActividades]" displayFolder="" count="0" memberValueDatatype="20" unbalanced="0"/>
    <cacheHierarchy uniqueName="[TablaActividades].[A]" caption="A" attribute="1" defaultMemberUniqueName="[TablaActividades].[A].[All]" allUniqueName="[TablaActividades].[A].[All]" dimensionUniqueName="[TablaActividades]" displayFolder="" count="0" memberValueDatatype="130" unbalanced="0"/>
    <cacheHierarchy uniqueName="[TablaActividades].[DA]" caption="DA" attribute="1" defaultMemberUniqueName="[TablaActividades].[DA].[All]" allUniqueName="[TablaActividades].[DA].[All]" dimensionUniqueName="[TablaActividades]" displayFolder="" count="0" memberValueDatatype="130" unbalanced="0"/>
    <cacheHierarchy uniqueName="[TablaActividades].[PA]" caption="PA" attribute="1" defaultMemberUniqueName="[TablaActividades].[PA].[All]" allUniqueName="[TablaActividades].[PA].[All]" dimensionUniqueName="[TablaActividades]" displayFolder="" count="0" memberValueDatatype="20" unbalanced="0"/>
    <cacheHierarchy uniqueName="[TablaActividades].[PA%]" caption="PA%" attribute="1" defaultMemberUniqueName="[TablaActividades].[PA%].[All]" allUniqueName="[TablaActividades].[PA%].[All]" dimensionUniqueName="[TablaActividades]" displayFolder="" count="0" memberValueDatatype="5" unbalanced="0"/>
    <cacheHierarchy uniqueName="[TablaActividades].[FACTOR_IDOCEO]" caption="FACTOR_IDOCEO" attribute="1" defaultMemberUniqueName="[TablaActividades].[FACTOR_IDOCEO].[All]" allUniqueName="[TablaActividades].[FACTOR_IDOCEO].[All]" dimensionUniqueName="[TablaActividades]" displayFolder="" count="0" memberValueDatatype="5" unbalanced="0"/>
    <cacheHierarchy uniqueName="[TablaCriteriosEvaluacion].[CE]" caption="CE" attribute="1" defaultMemberUniqueName="[TablaCriteriosEvaluacion].[CE].[All]" allUniqueName="[TablaCriteriosEvaluacion].[CE].[All]" dimensionUniqueName="[TablaCriteriosEvaluacion]" displayFolder="" count="2" memberValueDatatype="130" unbalanced="0">
      <fieldsUsage count="2">
        <fieldUsage x="-1"/>
        <fieldUsage x="0"/>
      </fieldsUsage>
    </cacheHierarchy>
    <cacheHierarchy uniqueName="[TablaCriteriosEvaluacion].[CED]" caption="CED" attribute="1" defaultMemberUniqueName="[TablaCriteriosEvaluacion].[CED].[All]" allUniqueName="[TablaCriteriosEvaluacion].[CED].[All]" dimensionUniqueName="[TablaCriteriosEvaluacion]" displayFolder="" count="0" memberValueDatatype="130" unbalanced="0"/>
    <cacheHierarchy uniqueName="[TablaCriteriosEvaluacion].[P]" caption="P" attribute="1" defaultMemberUniqueName="[TablaCriteriosEvaluacion].[P].[All]" allUniqueName="[TablaCriteriosEvaluacion].[P].[All]" dimensionUniqueName="[TablaCriteriosEvaluacion]" displayFolder="" count="0" memberValueDatatype="20" unbalanced="0"/>
    <cacheHierarchy uniqueName="[TablaCriteriosEvaluacion].[P%]" caption="P%" attribute="1" defaultMemberUniqueName="[TablaCriteriosEvaluacion].[P%].[All]" allUniqueName="[TablaCriteriosEvaluacion].[P%].[All]" dimensionUniqueName="[TablaCriteriosEvaluacion]" displayFolder="" count="0" memberValueDatatype="5" unbalanced="0"/>
    <cacheHierarchy uniqueName="[TablaIndicadoresLogro].[CE]" caption="CE" attribute="1" defaultMemberUniqueName="[TablaIndicadoresLogro].[CE].[All]" allUniqueName="[TablaIndicadoresLogro].[CE].[All]" dimensionUniqueName="[TablaIndicadoresLogro]" displayFolder="" count="0" memberValueDatatype="130" unbalanced="0"/>
    <cacheHierarchy uniqueName="[TablaIndicadoresLogro].[CED]" caption="CED" attribute="1" defaultMemberUniqueName="[TablaIndicadoresLogro].[CED].[All]" allUniqueName="[TablaIndicadoresLogro].[CED].[All]" dimensionUniqueName="[TablaIndicadoresLogro]" displayFolder="" count="0" memberValueDatatype="130" unbalanced="0"/>
    <cacheHierarchy uniqueName="[TablaIndicadoresLogro].[IL]" caption="IL" attribute="1" defaultMemberUniqueName="[TablaIndicadoresLogro].[IL].[All]" allUniqueName="[TablaIndicadoresLogro].[IL].[All]" dimensionUniqueName="[TablaIndicadoresLogro]" displayFolder="" count="0" memberValueDatatype="130" unbalanced="0"/>
    <cacheHierarchy uniqueName="[TablaIndicadoresLogro].[PIL]" caption="PIL" attribute="1" defaultMemberUniqueName="[TablaIndicadoresLogro].[PIL].[All]" allUniqueName="[TablaIndicadoresLogro].[PIL].[All]" dimensionUniqueName="[TablaIndicadoresLogro]" displayFolder="" count="0" memberValueDatatype="20" unbalanced="0"/>
    <cacheHierarchy uniqueName="[TablaIndicadoresLogro].[PIL%]" caption="PIL%" attribute="1" defaultMemberUniqueName="[TablaIndicadoresLogro].[PIL%].[All]" allUniqueName="[TablaIndicadoresLogro].[PIL%].[All]" dimensionUniqueName="[TablaIndicadoresLogro]" displayFolder="" count="0" memberValueDatatype="20" unbalanced="0"/>
    <cacheHierarchy uniqueName="[TablaIndicadoresLogro].[DIL]" caption="DIL" attribute="1" defaultMemberUniqueName="[TablaIndicadoresLogro].[DIL].[All]" allUniqueName="[TablaIndicadoresLogro].[DIL].[All]" dimensionUniqueName="[TablaIndicadoresLogro]" displayFolder="" count="0" memberValueDatatype="130" unbalanced="0"/>
    <cacheHierarchy uniqueName="[TablaIndicadoresLogro].[DO]" caption="DO" attribute="1" defaultMemberUniqueName="[TablaIndicadoresLogro].[DO].[All]" allUniqueName="[TablaIndicadoresLogro].[DO].[All]" dimensionUniqueName="[TablaIndicadoresLogro]" displayFolder="" count="0" memberValueDatatype="130" unbalanced="0"/>
    <cacheHierarchy uniqueName="[TablaIndicadoresLogro].[CON]" caption="CON" attribute="1" defaultMemberUniqueName="[TablaIndicadoresLogro].[CON].[All]" allUniqueName="[TablaIndicadoresLogro].[CON].[All]" dimensionUniqueName="[TablaIndicadoresLogro]" displayFolder="" count="0" memberValueDatatype="130" unbalanced="0"/>
    <cacheHierarchy uniqueName="[TablaIndicadoresLogro].[CT]" caption="CT" attribute="1" defaultMemberUniqueName="[TablaIndicadoresLogro].[CT].[All]" allUniqueName="[TablaIndicadoresLogro].[CT].[All]" dimensionUniqueName="[TablaIndicadoresLogro]" displayFolder="" count="0" memberValueDatatype="130" unbalanced="0"/>
    <cacheHierarchy uniqueName="[TablaIndicadoresLogro].[IE]" caption="IE" attribute="1" defaultMemberUniqueName="[TablaIndicadoresLogro].[IE].[All]" allUniqueName="[TablaIndicadoresLogro].[IE].[All]" dimensionUniqueName="[TablaIndicadoresLogro]" displayFolder="" count="0" memberValueDatatype="130" unbalanced="0"/>
    <cacheHierarchy uniqueName="[TablaIndicadoresLogro].[CC]" caption="CC" attribute="1" defaultMemberUniqueName="[TablaIndicadoresLogro].[CC].[All]" allUniqueName="[TablaIndicadoresLogro].[CC].[All]" dimensionUniqueName="[TablaIndicadoresLogro]" displayFolder="" count="0" memberValueDatatype="130" unbalanced="0"/>
    <cacheHierarchy uniqueName="[TablaIndicadoresLogro].[AE]" caption="AE" attribute="1" defaultMemberUniqueName="[TablaIndicadoresLogro].[AE].[All]" allUniqueName="[TablaIndicadoresLogro].[AE].[All]" dimensionUniqueName="[TablaIndicadoresLogro]" displayFolder="" count="0" memberValueDatatype="130" unbalanced="0"/>
    <cacheHierarchy uniqueName="[TablaIndicadoresLogro].[SA]" caption="SA" attribute="1" defaultMemberUniqueName="[TablaIndicadoresLogro].[SA].[All]" allUniqueName="[TablaIndicadoresLogro].[SA].[All]" dimensionUniqueName="[TablaIndicadoresLogro]" displayFolder="" count="0" memberValueDatatype="20" unbalanced="0"/>
    <cacheHierarchy uniqueName="[tablaSAprendizaje].[SA]" caption="SA" attribute="1" defaultMemberUniqueName="[tablaSAprendizaje].[SA].[All]" allUniqueName="[tablaSAprendizaje].[SA].[All]" dimensionUniqueName="[tablaSAprendizaje]" displayFolder="" count="0" memberValueDatatype="20" unbalanced="0"/>
    <cacheHierarchy uniqueName="[tablaSAprendizaje].[DSA]" caption="DSA" attribute="1" defaultMemberUniqueName="[tablaSAprendizaje].[DSA].[All]" allUniqueName="[tablaSAprendizaje].[DSA].[All]" dimensionUniqueName="[tablaSAprendizaje]" displayFolder="" count="0" memberValueDatatype="130" unbalanced="0"/>
    <cacheHierarchy uniqueName="[tablaSAprendizaje].[HSA]" caption="HSA" attribute="1" defaultMemberUniqueName="[tablaSAprendizaje].[HSA].[All]" allUniqueName="[tablaSAprendizaje].[HSA].[All]" dimensionUniqueName="[tablaSAprendizaje]" displayFolder="" count="0" memberValueDatatype="20" unbalanced="0"/>
    <cacheHierarchy uniqueName="[tablaSAprendizaje].[Situación Aprendizaje]" caption="Situación Aprendizaje" attribute="1" defaultMemberUniqueName="[tablaSAprendizaje].[Situación Aprendizaje].[All]" allUniqueName="[tablaSAprendizaje].[Situación Aprendizaje].[All]" dimensionUniqueName="[tablaSAprendizaje]" displayFolder="" count="0" memberValueDatatype="130" unbalanced="0"/>
    <cacheHierarchy uniqueName="[Measures].[Suma de HSA]" caption="Suma de HSA" measure="1" displayFolder="" measureGroup="tablaSAprendizaje" count="0">
      <extLst>
        <ext xmlns:x15="http://schemas.microsoft.com/office/spreadsheetml/2010/11/main" uri="{B97F6D7D-B522-45F9-BDA1-12C45D357490}">
          <x15:cacheHierarchy aggregatedColumn="34"/>
        </ext>
      </extLst>
    </cacheHierarchy>
    <cacheHierarchy uniqueName="[Measures].[Recuento de DSA]" caption="Recuento de DSA" measure="1" displayFolder="" measureGroup="tablaSAprendizaje" count="0">
      <extLst>
        <ext xmlns:x15="http://schemas.microsoft.com/office/spreadsheetml/2010/11/main" uri="{B97F6D7D-B522-45F9-BDA1-12C45D357490}">
          <x15:cacheHierarchy aggregatedColumn="33"/>
        </ext>
      </extLst>
    </cacheHierarchy>
    <cacheHierarchy uniqueName="[Measures].[Suma de P]" caption="Suma de P" measure="1" displayFolder="" measureGroup="TablaCriteriosEvaluacion" count="0" oneField="1">
      <fieldsUsage count="1">
        <fieldUsage x="1"/>
      </fieldsUsage>
      <extLst>
        <ext xmlns:x15="http://schemas.microsoft.com/office/spreadsheetml/2010/11/main" uri="{B97F6D7D-B522-45F9-BDA1-12C45D357490}">
          <x15:cacheHierarchy aggregatedColumn="17"/>
        </ext>
      </extLst>
    </cacheHierarchy>
    <cacheHierarchy uniqueName="[Measures].[Suma de PIL]" caption="Suma de PIL" measure="1" displayFolder="" measureGroup="TablaIndicadoresLogro" count="0">
      <extLst>
        <ext xmlns:x15="http://schemas.microsoft.com/office/spreadsheetml/2010/11/main" uri="{B97F6D7D-B522-45F9-BDA1-12C45D357490}">
          <x15:cacheHierarchy aggregatedColumn="22"/>
        </ext>
      </extLst>
    </cacheHierarchy>
    <cacheHierarchy uniqueName="[Measures].[Peso_Agrupado_SA_CE]" caption="Peso_Agrupado_SA_CE" measure="1" displayFolder="" measureGroup="tablaSAprendizaje" count="0"/>
    <cacheHierarchy uniqueName="[Measures].[Valor_porcentaje_horas]" caption="Valor_porcentaje_horas" measure="1" displayFolder="" measureGroup="tablaSAprendizaje" count="0"/>
    <cacheHierarchy uniqueName="[Measures].[Valor_actividad]" caption="Valor_actividad" measure="1" displayFolder="" measureGroup="tablaSAprendizaje" count="0"/>
    <cacheHierarchy uniqueName="[Measures].[Medida_porcentajes_IE]" caption="Medida_porcentajes_IE" measure="1" displayFolder="" measureGroup="tablaSAprendizaje" count="0"/>
    <cacheHierarchy uniqueName="[Measures].[__XL_Count tablaSAprendizaje]" caption="__XL_Count tablaSAprendizaje" measure="1" displayFolder="" measureGroup="tablaSAprendizaje" count="0" hidden="1"/>
    <cacheHierarchy uniqueName="[Measures].[__XL_Count TablaCriteriosEvaluacion]" caption="__XL_Count TablaCriteriosEvaluacion" measure="1" displayFolder="" measureGroup="TablaCriteriosEvaluacion" count="0" hidden="1"/>
    <cacheHierarchy uniqueName="[Measures].[__XL_Count TablaActividades]" caption="__XL_Count TablaActividades" measure="1" displayFolder="" measureGroup="TablaActividades" count="0" hidden="1"/>
    <cacheHierarchy uniqueName="[Measures].[__XL_Count TablaIndicadoresLogro]" caption="__XL_Count TablaIndicadoresLogro" measure="1" displayFolder="" measureGroup="TablaIndicadoresLogro" count="0" hidden="1"/>
    <cacheHierarchy uniqueName="[Measures].[__No hay medidas definidas]" caption="__No hay medidas definidas" measure="1" displayFolder="" count="0" hidden="1"/>
    <cacheHierarchy uniqueName="Unsupported0" caption="IL" measure="1" count="0">
      <extLst>
        <ext xmlns:x14="http://schemas.microsoft.com/office/spreadsheetml/2009/9/main" uri="{8CF416AD-EC4C-4aba-99F5-12A058AE0983}">
          <x14:cacheHierarchy ignore="1"/>
        </ext>
      </extLst>
    </cacheHierarchy>
  </cacheHierarchies>
  <kpis count="0"/>
  <dimensions count="5">
    <dimension measure="1" name="Measures" uniqueName="[Measures]" caption="Measures"/>
    <dimension name="TablaActividades" uniqueName="[TablaActividades]" caption="TablaActividades"/>
    <dimension name="TablaCriteriosEvaluacion" uniqueName="[TablaCriteriosEvaluacion]" caption="TablaCriteriosEvaluacion"/>
    <dimension name="TablaIndicadoresLogro" uniqueName="[TablaIndicadoresLogro]" caption="TablaIndicadoresLogro"/>
    <dimension name="tablaSAprendizaje" uniqueName="[tablaSAprendizaje]" caption="tablaSAprendizaje"/>
  </dimensions>
  <measureGroups count="4">
    <measureGroup name="TablaActividades" caption="TablaActividades"/>
    <measureGroup name="TablaCriteriosEvaluacion" caption="TablaCriteriosEvaluacion"/>
    <measureGroup name="TablaIndicadoresLogro" caption="TablaIndicadoresLogro"/>
    <measureGroup name="tablaSAprendizaje" caption="tablaSAprendizaje"/>
  </measureGroups>
  <maps count="9">
    <map measureGroup="0" dimension="1"/>
    <map measureGroup="0" dimension="2"/>
    <map measureGroup="0" dimension="3"/>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Ángel Pardos Blas" refreshedDate="46240.350446180557" createdVersion="8" refreshedVersion="8" minRefreshableVersion="3" recordCount="0" supportSubquery="1" supportAdvancedDrill="1" xr:uid="{F11635DA-3E82-4A68-AAA8-384F77984DA3}">
  <cacheSource type="external" connectionId="1"/>
  <cacheFields count="5">
    <cacheField name="[TablaActividades].[A].[A]" caption="A" numFmtId="0" hierarchy="10" level="1">
      <sharedItems count="1">
        <s v="3.2.1.1"/>
      </sharedItems>
    </cacheField>
    <cacheField name="[TablaActividades].[DA].[DA]" caption="DA" numFmtId="0" hierarchy="11" level="1">
      <sharedItems count="1">
        <s v="Actividad muy bonita 10"/>
      </sharedItems>
    </cacheField>
    <cacheField name="[tablaSAprendizaje].[SA].[SA]" caption="SA" numFmtId="0" hierarchy="32" level="1">
      <sharedItems containsSemiMixedTypes="0" containsNonDate="0" containsString="0"/>
    </cacheField>
    <cacheField name="[Measures].[Valor_actividad]" caption="Valor_actividad" numFmtId="0" hierarchy="42" level="32767"/>
    <cacheField name="Unsupported0" numFmtId="0" hierarchy="49" level="32767">
      <extLst>
        <ext xmlns:x14="http://schemas.microsoft.com/office/spreadsheetml/2009/9/main" uri="{63CAB8AC-B538-458d-9737-405883B0398D}">
          <x14:cacheField ignore="1"/>
        </ext>
      </extLst>
    </cacheField>
  </cacheFields>
  <cacheHierarchies count="50">
    <cacheHierarchy uniqueName="[TablaActividades].[IL]" caption="IL" attribute="1" defaultMemberUniqueName="[TablaActividades].[IL].[All]" allUniqueName="[TablaActividades].[IL].[All]" dimensionUniqueName="[TablaActividades]" displayFolder="" count="0" memberValueDatatype="130" unbalanced="0"/>
    <cacheHierarchy uniqueName="[TablaActividades].[PIL]" caption="PIL" attribute="1" defaultMemberUniqueName="[TablaActividades].[PIL].[All]" allUniqueName="[TablaActividades].[PIL].[All]" dimensionUniqueName="[TablaActividades]" displayFolder="" count="0" memberValueDatatype="20" unbalanced="0"/>
    <cacheHierarchy uniqueName="[TablaActividades].[DIL]" caption="DIL" attribute="1" defaultMemberUniqueName="[TablaActividades].[DIL].[All]" allUniqueName="[TablaActividades].[DIL].[All]" dimensionUniqueName="[TablaActividades]" displayFolder="" count="0" memberValueDatatype="130" unbalanced="0"/>
    <cacheHierarchy uniqueName="[TablaActividades].[DO]" caption="DO" attribute="1" defaultMemberUniqueName="[TablaActividades].[DO].[All]" allUniqueName="[TablaActividades].[DO].[All]" dimensionUniqueName="[TablaActividades]" displayFolder="" count="0" memberValueDatatype="130" unbalanced="0"/>
    <cacheHierarchy uniqueName="[TablaActividades].[CON]" caption="CON" attribute="1" defaultMemberUniqueName="[TablaActividades].[CON].[All]" allUniqueName="[TablaActividades].[CON].[All]" dimensionUniqueName="[TablaActividades]" displayFolder="" count="0" memberValueDatatype="130" unbalanced="0"/>
    <cacheHierarchy uniqueName="[TablaActividades].[CT]" caption="CT" attribute="1" defaultMemberUniqueName="[TablaActividades].[CT].[All]" allUniqueName="[TablaActividades].[CT].[All]" dimensionUniqueName="[TablaActividades]" displayFolder="" count="0" memberValueDatatype="20" unbalanced="0"/>
    <cacheHierarchy uniqueName="[TablaActividades].[IE]" caption="IE" attribute="1" defaultMemberUniqueName="[TablaActividades].[IE].[All]" allUniqueName="[TablaActividades].[IE].[All]" dimensionUniqueName="[TablaActividades]" displayFolder="" count="0" memberValueDatatype="130" unbalanced="0"/>
    <cacheHierarchy uniqueName="[TablaActividades].[CC]" caption="CC" attribute="1" defaultMemberUniqueName="[TablaActividades].[CC].[All]" allUniqueName="[TablaActividades].[CC].[All]" dimensionUniqueName="[TablaActividades]" displayFolder="" count="0" memberValueDatatype="130" unbalanced="0"/>
    <cacheHierarchy uniqueName="[TablaActividades].[AE]" caption="AE" attribute="1" defaultMemberUniqueName="[TablaActividades].[AE].[All]" allUniqueName="[TablaActividades].[AE].[All]" dimensionUniqueName="[TablaActividades]" displayFolder="" count="0" memberValueDatatype="130" unbalanced="0"/>
    <cacheHierarchy uniqueName="[TablaActividades].[SA]" caption="SA" attribute="1" defaultMemberUniqueName="[TablaActividades].[SA].[All]" allUniqueName="[TablaActividades].[SA].[All]" dimensionUniqueName="[TablaActividades]" displayFolder="" count="0" memberValueDatatype="20" unbalanced="0"/>
    <cacheHierarchy uniqueName="[TablaActividades].[A]" caption="A" attribute="1" defaultMemberUniqueName="[TablaActividades].[A].[All]" allUniqueName="[TablaActividades].[A].[All]" dimensionUniqueName="[TablaActividades]" displayFolder="" count="2" memberValueDatatype="130" unbalanced="0">
      <fieldsUsage count="2">
        <fieldUsage x="-1"/>
        <fieldUsage x="0"/>
      </fieldsUsage>
    </cacheHierarchy>
    <cacheHierarchy uniqueName="[TablaActividades].[DA]" caption="DA" attribute="1" defaultMemberUniqueName="[TablaActividades].[DA].[All]" allUniqueName="[TablaActividades].[DA].[All]" dimensionUniqueName="[TablaActividades]" displayFolder="" count="2" memberValueDatatype="130" unbalanced="0">
      <fieldsUsage count="2">
        <fieldUsage x="-1"/>
        <fieldUsage x="1"/>
      </fieldsUsage>
    </cacheHierarchy>
    <cacheHierarchy uniqueName="[TablaActividades].[PA]" caption="PA" attribute="1" defaultMemberUniqueName="[TablaActividades].[PA].[All]" allUniqueName="[TablaActividades].[PA].[All]" dimensionUniqueName="[TablaActividades]" displayFolder="" count="0" memberValueDatatype="20" unbalanced="0"/>
    <cacheHierarchy uniqueName="[TablaActividades].[PA%]" caption="PA%" attribute="1" defaultMemberUniqueName="[TablaActividades].[PA%].[All]" allUniqueName="[TablaActividades].[PA%].[All]" dimensionUniqueName="[TablaActividades]" displayFolder="" count="0" memberValueDatatype="5" unbalanced="0"/>
    <cacheHierarchy uniqueName="[TablaActividades].[FACTOR_IDOCEO]" caption="FACTOR_IDOCEO" attribute="1" defaultMemberUniqueName="[TablaActividades].[FACTOR_IDOCEO].[All]" allUniqueName="[TablaActividades].[FACTOR_IDOCEO].[All]" dimensionUniqueName="[TablaActividades]" displayFolder="" count="0" memberValueDatatype="5" unbalanced="0"/>
    <cacheHierarchy uniqueName="[TablaCriteriosEvaluacion].[CE]" caption="CE" attribute="1" defaultMemberUniqueName="[TablaCriteriosEvaluacion].[CE].[All]" allUniqueName="[TablaCriteriosEvaluacion].[CE].[All]" dimensionUniqueName="[TablaCriteriosEvaluacion]" displayFolder="" count="0" memberValueDatatype="130" unbalanced="0"/>
    <cacheHierarchy uniqueName="[TablaCriteriosEvaluacion].[CED]" caption="CED" attribute="1" defaultMemberUniqueName="[TablaCriteriosEvaluacion].[CED].[All]" allUniqueName="[TablaCriteriosEvaluacion].[CED].[All]" dimensionUniqueName="[TablaCriteriosEvaluacion]" displayFolder="" count="0" memberValueDatatype="130" unbalanced="0"/>
    <cacheHierarchy uniqueName="[TablaCriteriosEvaluacion].[P]" caption="P" attribute="1" defaultMemberUniqueName="[TablaCriteriosEvaluacion].[P].[All]" allUniqueName="[TablaCriteriosEvaluacion].[P].[All]" dimensionUniqueName="[TablaCriteriosEvaluacion]" displayFolder="" count="0" memberValueDatatype="20" unbalanced="0"/>
    <cacheHierarchy uniqueName="[TablaCriteriosEvaluacion].[P%]" caption="P%" attribute="1" defaultMemberUniqueName="[TablaCriteriosEvaluacion].[P%].[All]" allUniqueName="[TablaCriteriosEvaluacion].[P%].[All]" dimensionUniqueName="[TablaCriteriosEvaluacion]" displayFolder="" count="0" memberValueDatatype="5" unbalanced="0"/>
    <cacheHierarchy uniqueName="[TablaIndicadoresLogro].[CE]" caption="CE" attribute="1" defaultMemberUniqueName="[TablaIndicadoresLogro].[CE].[All]" allUniqueName="[TablaIndicadoresLogro].[CE].[All]" dimensionUniqueName="[TablaIndicadoresLogro]" displayFolder="" count="0" memberValueDatatype="130" unbalanced="0"/>
    <cacheHierarchy uniqueName="[TablaIndicadoresLogro].[CED]" caption="CED" attribute="1" defaultMemberUniqueName="[TablaIndicadoresLogro].[CED].[All]" allUniqueName="[TablaIndicadoresLogro].[CED].[All]" dimensionUniqueName="[TablaIndicadoresLogro]" displayFolder="" count="0" memberValueDatatype="130" unbalanced="0"/>
    <cacheHierarchy uniqueName="[TablaIndicadoresLogro].[IL]" caption="IL" attribute="1" defaultMemberUniqueName="[TablaIndicadoresLogro].[IL].[All]" allUniqueName="[TablaIndicadoresLogro].[IL].[All]" dimensionUniqueName="[TablaIndicadoresLogro]" displayFolder="" count="0" memberValueDatatype="130" unbalanced="0"/>
    <cacheHierarchy uniqueName="[TablaIndicadoresLogro].[PIL]" caption="PIL" attribute="1" defaultMemberUniqueName="[TablaIndicadoresLogro].[PIL].[All]" allUniqueName="[TablaIndicadoresLogro].[PIL].[All]" dimensionUniqueName="[TablaIndicadoresLogro]" displayFolder="" count="0" memberValueDatatype="20" unbalanced="0"/>
    <cacheHierarchy uniqueName="[TablaIndicadoresLogro].[PIL%]" caption="PIL%" attribute="1" defaultMemberUniqueName="[TablaIndicadoresLogro].[PIL%].[All]" allUniqueName="[TablaIndicadoresLogro].[PIL%].[All]" dimensionUniqueName="[TablaIndicadoresLogro]" displayFolder="" count="0" memberValueDatatype="20" unbalanced="0"/>
    <cacheHierarchy uniqueName="[TablaIndicadoresLogro].[DIL]" caption="DIL" attribute="1" defaultMemberUniqueName="[TablaIndicadoresLogro].[DIL].[All]" allUniqueName="[TablaIndicadoresLogro].[DIL].[All]" dimensionUniqueName="[TablaIndicadoresLogro]" displayFolder="" count="0" memberValueDatatype="130" unbalanced="0"/>
    <cacheHierarchy uniqueName="[TablaIndicadoresLogro].[DO]" caption="DO" attribute="1" defaultMemberUniqueName="[TablaIndicadoresLogro].[DO].[All]" allUniqueName="[TablaIndicadoresLogro].[DO].[All]" dimensionUniqueName="[TablaIndicadoresLogro]" displayFolder="" count="0" memberValueDatatype="130" unbalanced="0"/>
    <cacheHierarchy uniqueName="[TablaIndicadoresLogro].[CON]" caption="CON" attribute="1" defaultMemberUniqueName="[TablaIndicadoresLogro].[CON].[All]" allUniqueName="[TablaIndicadoresLogro].[CON].[All]" dimensionUniqueName="[TablaIndicadoresLogro]" displayFolder="" count="0" memberValueDatatype="130" unbalanced="0"/>
    <cacheHierarchy uniqueName="[TablaIndicadoresLogro].[CT]" caption="CT" attribute="1" defaultMemberUniqueName="[TablaIndicadoresLogro].[CT].[All]" allUniqueName="[TablaIndicadoresLogro].[CT].[All]" dimensionUniqueName="[TablaIndicadoresLogro]" displayFolder="" count="0" memberValueDatatype="130" unbalanced="0"/>
    <cacheHierarchy uniqueName="[TablaIndicadoresLogro].[IE]" caption="IE" attribute="1" defaultMemberUniqueName="[TablaIndicadoresLogro].[IE].[All]" allUniqueName="[TablaIndicadoresLogro].[IE].[All]" dimensionUniqueName="[TablaIndicadoresLogro]" displayFolder="" count="0" memberValueDatatype="130" unbalanced="0"/>
    <cacheHierarchy uniqueName="[TablaIndicadoresLogro].[CC]" caption="CC" attribute="1" defaultMemberUniqueName="[TablaIndicadoresLogro].[CC].[All]" allUniqueName="[TablaIndicadoresLogro].[CC].[All]" dimensionUniqueName="[TablaIndicadoresLogro]" displayFolder="" count="0" memberValueDatatype="130" unbalanced="0"/>
    <cacheHierarchy uniqueName="[TablaIndicadoresLogro].[AE]" caption="AE" attribute="1" defaultMemberUniqueName="[TablaIndicadoresLogro].[AE].[All]" allUniqueName="[TablaIndicadoresLogro].[AE].[All]" dimensionUniqueName="[TablaIndicadoresLogro]" displayFolder="" count="0" memberValueDatatype="130" unbalanced="0"/>
    <cacheHierarchy uniqueName="[TablaIndicadoresLogro].[SA]" caption="SA" attribute="1" defaultMemberUniqueName="[TablaIndicadoresLogro].[SA].[All]" allUniqueName="[TablaIndicadoresLogro].[SA].[All]" dimensionUniqueName="[TablaIndicadoresLogro]" displayFolder="" count="0" memberValueDatatype="20" unbalanced="0"/>
    <cacheHierarchy uniqueName="[tablaSAprendizaje].[SA]" caption="SA" attribute="1" defaultMemberUniqueName="[tablaSAprendizaje].[SA].[All]" allUniqueName="[tablaSAprendizaje].[SA].[All]" dimensionUniqueName="[tablaSAprendizaje]" displayFolder="" count="2" memberValueDatatype="20" unbalanced="0">
      <fieldsUsage count="2">
        <fieldUsage x="-1"/>
        <fieldUsage x="2"/>
      </fieldsUsage>
    </cacheHierarchy>
    <cacheHierarchy uniqueName="[tablaSAprendizaje].[DSA]" caption="DSA" attribute="1" defaultMemberUniqueName="[tablaSAprendizaje].[DSA].[All]" allUniqueName="[tablaSAprendizaje].[DSA].[All]" dimensionUniqueName="[tablaSAprendizaje]" displayFolder="" count="0" memberValueDatatype="130" unbalanced="0"/>
    <cacheHierarchy uniqueName="[tablaSAprendizaje].[HSA]" caption="HSA" attribute="1" defaultMemberUniqueName="[tablaSAprendizaje].[HSA].[All]" allUniqueName="[tablaSAprendizaje].[HSA].[All]" dimensionUniqueName="[tablaSAprendizaje]" displayFolder="" count="0" memberValueDatatype="20" unbalanced="0"/>
    <cacheHierarchy uniqueName="[tablaSAprendizaje].[Situación Aprendizaje]" caption="Situación Aprendizaje" attribute="1" defaultMemberUniqueName="[tablaSAprendizaje].[Situación Aprendizaje].[All]" allUniqueName="[tablaSAprendizaje].[Situación Aprendizaje].[All]" dimensionUniqueName="[tablaSAprendizaje]" displayFolder="" count="0" memberValueDatatype="130" unbalanced="0"/>
    <cacheHierarchy uniqueName="[Measures].[Suma de HSA]" caption="Suma de HSA" measure="1" displayFolder="" measureGroup="tablaSAprendizaje" count="0">
      <extLst>
        <ext xmlns:x15="http://schemas.microsoft.com/office/spreadsheetml/2010/11/main" uri="{B97F6D7D-B522-45F9-BDA1-12C45D357490}">
          <x15:cacheHierarchy aggregatedColumn="34"/>
        </ext>
      </extLst>
    </cacheHierarchy>
    <cacheHierarchy uniqueName="[Measures].[Recuento de DSA]" caption="Recuento de DSA" measure="1" displayFolder="" measureGroup="tablaSAprendizaje" count="0">
      <extLst>
        <ext xmlns:x15="http://schemas.microsoft.com/office/spreadsheetml/2010/11/main" uri="{B97F6D7D-B522-45F9-BDA1-12C45D357490}">
          <x15:cacheHierarchy aggregatedColumn="33"/>
        </ext>
      </extLst>
    </cacheHierarchy>
    <cacheHierarchy uniqueName="[Measures].[Suma de P]" caption="Suma de P" measure="1" displayFolder="" measureGroup="TablaCriteriosEvaluacion" count="0">
      <extLst>
        <ext xmlns:x15="http://schemas.microsoft.com/office/spreadsheetml/2010/11/main" uri="{B97F6D7D-B522-45F9-BDA1-12C45D357490}">
          <x15:cacheHierarchy aggregatedColumn="17"/>
        </ext>
      </extLst>
    </cacheHierarchy>
    <cacheHierarchy uniqueName="[Measures].[Suma de PIL]" caption="Suma de PIL" measure="1" displayFolder="" measureGroup="TablaIndicadoresLogro" count="0">
      <extLst>
        <ext xmlns:x15="http://schemas.microsoft.com/office/spreadsheetml/2010/11/main" uri="{B97F6D7D-B522-45F9-BDA1-12C45D357490}">
          <x15:cacheHierarchy aggregatedColumn="22"/>
        </ext>
      </extLst>
    </cacheHierarchy>
    <cacheHierarchy uniqueName="[Measures].[Peso_Agrupado_SA_CE]" caption="Peso_Agrupado_SA_CE" measure="1" displayFolder="" measureGroup="tablaSAprendizaje" count="0"/>
    <cacheHierarchy uniqueName="[Measures].[Valor_porcentaje_horas]" caption="Valor_porcentaje_horas" measure="1" displayFolder="" measureGroup="tablaSAprendizaje" count="0"/>
    <cacheHierarchy uniqueName="[Measures].[Valor_actividad]" caption="Valor_actividad" measure="1" displayFolder="" measureGroup="tablaSAprendizaje" count="0" oneField="1">
      <fieldsUsage count="1">
        <fieldUsage x="3"/>
      </fieldsUsage>
    </cacheHierarchy>
    <cacheHierarchy uniqueName="[Measures].[Medida_porcentajes_IE]" caption="Medida_porcentajes_IE" measure="1" displayFolder="" measureGroup="tablaSAprendizaje" count="0"/>
    <cacheHierarchy uniqueName="[Measures].[__XL_Count tablaSAprendizaje]" caption="__XL_Count tablaSAprendizaje" measure="1" displayFolder="" measureGroup="tablaSAprendizaje" count="0" hidden="1"/>
    <cacheHierarchy uniqueName="[Measures].[__XL_Count TablaCriteriosEvaluacion]" caption="__XL_Count TablaCriteriosEvaluacion" measure="1" displayFolder="" measureGroup="TablaCriteriosEvaluacion" count="0" hidden="1"/>
    <cacheHierarchy uniqueName="[Measures].[__XL_Count TablaActividades]" caption="__XL_Count TablaActividades" measure="1" displayFolder="" measureGroup="TablaActividades" count="0" hidden="1"/>
    <cacheHierarchy uniqueName="[Measures].[__XL_Count TablaIndicadoresLogro]" caption="__XL_Count TablaIndicadoresLogro" measure="1" displayFolder="" measureGroup="TablaIndicadoresLogro" count="0" hidden="1"/>
    <cacheHierarchy uniqueName="[Measures].[__No hay medidas definidas]" caption="__No hay medidas definidas" measure="1" displayFolder="" count="0" hidden="1"/>
    <cacheHierarchy uniqueName="Unsupported0" caption="IL" measure="1" count="0">
      <extLst>
        <ext xmlns:x14="http://schemas.microsoft.com/office/spreadsheetml/2009/9/main" uri="{8CF416AD-EC4C-4aba-99F5-12A058AE0983}">
          <x14:cacheHierarchy ignore="1"/>
        </ext>
      </extLst>
    </cacheHierarchy>
  </cacheHierarchies>
  <kpis count="0"/>
  <dimensions count="5">
    <dimension measure="1" name="Measures" uniqueName="[Measures]" caption="Measures"/>
    <dimension name="TablaActividades" uniqueName="[TablaActividades]" caption="TablaActividades"/>
    <dimension name="TablaCriteriosEvaluacion" uniqueName="[TablaCriteriosEvaluacion]" caption="TablaCriteriosEvaluacion"/>
    <dimension name="TablaIndicadoresLogro" uniqueName="[TablaIndicadoresLogro]" caption="TablaIndicadoresLogro"/>
    <dimension name="tablaSAprendizaje" uniqueName="[tablaSAprendizaje]" caption="tablaSAprendizaje"/>
  </dimensions>
  <measureGroups count="4">
    <measureGroup name="TablaActividades" caption="TablaActividades"/>
    <measureGroup name="TablaCriteriosEvaluacion" caption="TablaCriteriosEvaluacion"/>
    <measureGroup name="TablaIndicadoresLogro" caption="TablaIndicadoresLogro"/>
    <measureGroup name="tablaSAprendizaje" caption="tablaSAprendizaje"/>
  </measureGroups>
  <maps count="9">
    <map measureGroup="0" dimension="1"/>
    <map measureGroup="0" dimension="2"/>
    <map measureGroup="0" dimension="3"/>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Ángel Pardos Blas" refreshedDate="46240.350447916666" createdVersion="5" refreshedVersion="8" minRefreshableVersion="3" recordCount="0" supportSubquery="1" supportAdvancedDrill="1" xr:uid="{33B77730-FBAC-4EC3-BDD1-3CCD0D1F4258}">
  <cacheSource type="external" connectionId="1"/>
  <cacheFields count="3">
    <cacheField name="[TablaCriteriosEvaluacion].[CE].[CE]" caption="CE" numFmtId="0" hierarchy="15" level="1">
      <sharedItems count="24">
        <s v="1.1"/>
        <s v="1.2"/>
        <s v="1.3"/>
        <s v="2.1"/>
        <s v="2.2"/>
        <s v="2.3"/>
        <s v="2.4"/>
        <s v="3.1"/>
        <s v="3.2"/>
        <s v="3.3"/>
        <s v="3.4"/>
        <s v="3.5"/>
        <s v="4.1"/>
        <s v="4.2"/>
        <s v="5.1"/>
        <s v="5.2"/>
        <s v="5.3"/>
        <s v="6.1"/>
        <s v="6.2"/>
        <s v="6.3"/>
        <s v="6.4"/>
        <s v="6.5"/>
        <s v="7.1"/>
        <s v="7.2"/>
      </sharedItems>
    </cacheField>
    <cacheField name="[tablaSAprendizaje].[SA].[SA]" caption="SA" numFmtId="0" hierarchy="32" level="1">
      <sharedItems containsSemiMixedTypes="0" containsString="0" containsNumber="1" containsInteger="1" minValue="1" maxValue="15" count="15">
        <n v="1"/>
        <n v="2"/>
        <n v="3"/>
        <n v="4"/>
        <n v="5"/>
        <n v="6"/>
        <n v="7"/>
        <n v="8"/>
        <n v="9"/>
        <n v="10"/>
        <n v="11"/>
        <n v="12"/>
        <n v="13"/>
        <n v="14"/>
        <n v="15"/>
      </sharedItems>
      <extLst>
        <ext xmlns:x15="http://schemas.microsoft.com/office/spreadsheetml/2010/11/main" uri="{4F2E5C28-24EA-4eb8-9CBF-B6C8F9C3D259}">
          <x15:cachedUniqueNames>
            <x15:cachedUniqueName index="0" name="[tablaSAprendizaje].[SA].&amp;[1]"/>
            <x15:cachedUniqueName index="1" name="[tablaSAprendizaje].[SA].&amp;[2]"/>
            <x15:cachedUniqueName index="2" name="[tablaSAprendizaje].[SA].&amp;[3]"/>
            <x15:cachedUniqueName index="3" name="[tablaSAprendizaje].[SA].&amp;[4]"/>
            <x15:cachedUniqueName index="4" name="[tablaSAprendizaje].[SA].&amp;[5]"/>
            <x15:cachedUniqueName index="5" name="[tablaSAprendizaje].[SA].&amp;[6]"/>
            <x15:cachedUniqueName index="6" name="[tablaSAprendizaje].[SA].&amp;[7]"/>
            <x15:cachedUniqueName index="7" name="[tablaSAprendizaje].[SA].&amp;[8]"/>
            <x15:cachedUniqueName index="8" name="[tablaSAprendizaje].[SA].&amp;[9]"/>
            <x15:cachedUniqueName index="9" name="[tablaSAprendizaje].[SA].&amp;[10]"/>
            <x15:cachedUniqueName index="10" name="[tablaSAprendizaje].[SA].&amp;[11]"/>
            <x15:cachedUniqueName index="11" name="[tablaSAprendizaje].[SA].&amp;[12]"/>
            <x15:cachedUniqueName index="12" name="[tablaSAprendizaje].[SA].&amp;[13]"/>
            <x15:cachedUniqueName index="13" name="[tablaSAprendizaje].[SA].&amp;[14]"/>
            <x15:cachedUniqueName index="14" name="[tablaSAprendizaje].[SA].&amp;[15]"/>
          </x15:cachedUniqueNames>
        </ext>
      </extLst>
    </cacheField>
    <cacheField name="[Measures].[Peso_Agrupado_SA_CE]" caption="Peso_Agrupado_SA_CE" numFmtId="0" hierarchy="40" level="32767"/>
  </cacheFields>
  <cacheHierarchies count="49">
    <cacheHierarchy uniqueName="[TablaActividades].[IL]" caption="IL" attribute="1" defaultMemberUniqueName="[TablaActividades].[IL].[All]" allUniqueName="[TablaActividades].[IL].[All]" dimensionUniqueName="[TablaActividades]" displayFolder="" count="0" memberValueDatatype="130" unbalanced="0"/>
    <cacheHierarchy uniqueName="[TablaActividades].[PIL]" caption="PIL" attribute="1" defaultMemberUniqueName="[TablaActividades].[PIL].[All]" allUniqueName="[TablaActividades].[PIL].[All]" dimensionUniqueName="[TablaActividades]" displayFolder="" count="0" memberValueDatatype="20" unbalanced="0"/>
    <cacheHierarchy uniqueName="[TablaActividades].[DIL]" caption="DIL" attribute="1" defaultMemberUniqueName="[TablaActividades].[DIL].[All]" allUniqueName="[TablaActividades].[DIL].[All]" dimensionUniqueName="[TablaActividades]" displayFolder="" count="0" memberValueDatatype="130" unbalanced="0"/>
    <cacheHierarchy uniqueName="[TablaActividades].[DO]" caption="DO" attribute="1" defaultMemberUniqueName="[TablaActividades].[DO].[All]" allUniqueName="[TablaActividades].[DO].[All]" dimensionUniqueName="[TablaActividades]" displayFolder="" count="0" memberValueDatatype="130" unbalanced="0"/>
    <cacheHierarchy uniqueName="[TablaActividades].[CON]" caption="CON" attribute="1" defaultMemberUniqueName="[TablaActividades].[CON].[All]" allUniqueName="[TablaActividades].[CON].[All]" dimensionUniqueName="[TablaActividades]" displayFolder="" count="0" memberValueDatatype="130" unbalanced="0"/>
    <cacheHierarchy uniqueName="[TablaActividades].[CT]" caption="CT" attribute="1" defaultMemberUniqueName="[TablaActividades].[CT].[All]" allUniqueName="[TablaActividades].[CT].[All]" dimensionUniqueName="[TablaActividades]" displayFolder="" count="0" memberValueDatatype="20" unbalanced="0"/>
    <cacheHierarchy uniqueName="[TablaActividades].[IE]" caption="IE" attribute="1" defaultMemberUniqueName="[TablaActividades].[IE].[All]" allUniqueName="[TablaActividades].[IE].[All]" dimensionUniqueName="[TablaActividades]" displayFolder="" count="0" memberValueDatatype="130" unbalanced="0"/>
    <cacheHierarchy uniqueName="[TablaActividades].[CC]" caption="CC" attribute="1" defaultMemberUniqueName="[TablaActividades].[CC].[All]" allUniqueName="[TablaActividades].[CC].[All]" dimensionUniqueName="[TablaActividades]" displayFolder="" count="0" memberValueDatatype="130" unbalanced="0"/>
    <cacheHierarchy uniqueName="[TablaActividades].[AE]" caption="AE" attribute="1" defaultMemberUniqueName="[TablaActividades].[AE].[All]" allUniqueName="[TablaActividades].[AE].[All]" dimensionUniqueName="[TablaActividades]" displayFolder="" count="0" memberValueDatatype="130" unbalanced="0"/>
    <cacheHierarchy uniqueName="[TablaActividades].[SA]" caption="SA" attribute="1" defaultMemberUniqueName="[TablaActividades].[SA].[All]" allUniqueName="[TablaActividades].[SA].[All]" dimensionUniqueName="[TablaActividades]" displayFolder="" count="0" memberValueDatatype="20" unbalanced="0"/>
    <cacheHierarchy uniqueName="[TablaActividades].[A]" caption="A" attribute="1" defaultMemberUniqueName="[TablaActividades].[A].[All]" allUniqueName="[TablaActividades].[A].[All]" dimensionUniqueName="[TablaActividades]" displayFolder="" count="0" memberValueDatatype="130" unbalanced="0"/>
    <cacheHierarchy uniqueName="[TablaActividades].[DA]" caption="DA" attribute="1" defaultMemberUniqueName="[TablaActividades].[DA].[All]" allUniqueName="[TablaActividades].[DA].[All]" dimensionUniqueName="[TablaActividades]" displayFolder="" count="0" memberValueDatatype="130" unbalanced="0"/>
    <cacheHierarchy uniqueName="[TablaActividades].[PA]" caption="PA" attribute="1" defaultMemberUniqueName="[TablaActividades].[PA].[All]" allUniqueName="[TablaActividades].[PA].[All]" dimensionUniqueName="[TablaActividades]" displayFolder="" count="0" memberValueDatatype="20" unbalanced="0"/>
    <cacheHierarchy uniqueName="[TablaActividades].[PA%]" caption="PA%" attribute="1" defaultMemberUniqueName="[TablaActividades].[PA%].[All]" allUniqueName="[TablaActividades].[PA%].[All]" dimensionUniqueName="[TablaActividades]" displayFolder="" count="0" memberValueDatatype="5" unbalanced="0"/>
    <cacheHierarchy uniqueName="[TablaActividades].[FACTOR_IDOCEO]" caption="FACTOR_IDOCEO" attribute="1" defaultMemberUniqueName="[TablaActividades].[FACTOR_IDOCEO].[All]" allUniqueName="[TablaActividades].[FACTOR_IDOCEO].[All]" dimensionUniqueName="[TablaActividades]" displayFolder="" count="0" memberValueDatatype="5" unbalanced="0"/>
    <cacheHierarchy uniqueName="[TablaCriteriosEvaluacion].[CE]" caption="CE" attribute="1" defaultMemberUniqueName="[TablaCriteriosEvaluacion].[CE].[All]" allUniqueName="[TablaCriteriosEvaluacion].[CE].[All]" dimensionUniqueName="[TablaCriteriosEvaluacion]" displayFolder="" count="2" memberValueDatatype="130" unbalanced="0">
      <fieldsUsage count="2">
        <fieldUsage x="-1"/>
        <fieldUsage x="0"/>
      </fieldsUsage>
    </cacheHierarchy>
    <cacheHierarchy uniqueName="[TablaCriteriosEvaluacion].[CED]" caption="CED" attribute="1" defaultMemberUniqueName="[TablaCriteriosEvaluacion].[CED].[All]" allUniqueName="[TablaCriteriosEvaluacion].[CED].[All]" dimensionUniqueName="[TablaCriteriosEvaluacion]" displayFolder="" count="0" memberValueDatatype="130" unbalanced="0"/>
    <cacheHierarchy uniqueName="[TablaCriteriosEvaluacion].[P]" caption="P" attribute="1" defaultMemberUniqueName="[TablaCriteriosEvaluacion].[P].[All]" allUniqueName="[TablaCriteriosEvaluacion].[P].[All]" dimensionUniqueName="[TablaCriteriosEvaluacion]" displayFolder="" count="0" memberValueDatatype="20" unbalanced="0"/>
    <cacheHierarchy uniqueName="[TablaCriteriosEvaluacion].[P%]" caption="P%" attribute="1" defaultMemberUniqueName="[TablaCriteriosEvaluacion].[P%].[All]" allUniqueName="[TablaCriteriosEvaluacion].[P%].[All]" dimensionUniqueName="[TablaCriteriosEvaluacion]" displayFolder="" count="0" memberValueDatatype="5" unbalanced="0"/>
    <cacheHierarchy uniqueName="[TablaIndicadoresLogro].[CE]" caption="CE" attribute="1" defaultMemberUniqueName="[TablaIndicadoresLogro].[CE].[All]" allUniqueName="[TablaIndicadoresLogro].[CE].[All]" dimensionUniqueName="[TablaIndicadoresLogro]" displayFolder="" count="0" memberValueDatatype="130" unbalanced="0"/>
    <cacheHierarchy uniqueName="[TablaIndicadoresLogro].[CED]" caption="CED" attribute="1" defaultMemberUniqueName="[TablaIndicadoresLogro].[CED].[All]" allUniqueName="[TablaIndicadoresLogro].[CED].[All]" dimensionUniqueName="[TablaIndicadoresLogro]" displayFolder="" count="0" memberValueDatatype="130" unbalanced="0"/>
    <cacheHierarchy uniqueName="[TablaIndicadoresLogro].[IL]" caption="IL" attribute="1" defaultMemberUniqueName="[TablaIndicadoresLogro].[IL].[All]" allUniqueName="[TablaIndicadoresLogro].[IL].[All]" dimensionUniqueName="[TablaIndicadoresLogro]" displayFolder="" count="0" memberValueDatatype="130" unbalanced="0"/>
    <cacheHierarchy uniqueName="[TablaIndicadoresLogro].[PIL]" caption="PIL" attribute="1" defaultMemberUniqueName="[TablaIndicadoresLogro].[PIL].[All]" allUniqueName="[TablaIndicadoresLogro].[PIL].[All]" dimensionUniqueName="[TablaIndicadoresLogro]" displayFolder="" count="0" memberValueDatatype="20" unbalanced="0"/>
    <cacheHierarchy uniqueName="[TablaIndicadoresLogro].[PIL%]" caption="PIL%" attribute="1" defaultMemberUniqueName="[TablaIndicadoresLogro].[PIL%].[All]" allUniqueName="[TablaIndicadoresLogro].[PIL%].[All]" dimensionUniqueName="[TablaIndicadoresLogro]" displayFolder="" count="0" memberValueDatatype="20" unbalanced="0"/>
    <cacheHierarchy uniqueName="[TablaIndicadoresLogro].[DIL]" caption="DIL" attribute="1" defaultMemberUniqueName="[TablaIndicadoresLogro].[DIL].[All]" allUniqueName="[TablaIndicadoresLogro].[DIL].[All]" dimensionUniqueName="[TablaIndicadoresLogro]" displayFolder="" count="0" memberValueDatatype="130" unbalanced="0"/>
    <cacheHierarchy uniqueName="[TablaIndicadoresLogro].[DO]" caption="DO" attribute="1" defaultMemberUniqueName="[TablaIndicadoresLogro].[DO].[All]" allUniqueName="[TablaIndicadoresLogro].[DO].[All]" dimensionUniqueName="[TablaIndicadoresLogro]" displayFolder="" count="0" memberValueDatatype="130" unbalanced="0"/>
    <cacheHierarchy uniqueName="[TablaIndicadoresLogro].[CON]" caption="CON" attribute="1" defaultMemberUniqueName="[TablaIndicadoresLogro].[CON].[All]" allUniqueName="[TablaIndicadoresLogro].[CON].[All]" dimensionUniqueName="[TablaIndicadoresLogro]" displayFolder="" count="0" memberValueDatatype="130" unbalanced="0"/>
    <cacheHierarchy uniqueName="[TablaIndicadoresLogro].[CT]" caption="CT" attribute="1" defaultMemberUniqueName="[TablaIndicadoresLogro].[CT].[All]" allUniqueName="[TablaIndicadoresLogro].[CT].[All]" dimensionUniqueName="[TablaIndicadoresLogro]" displayFolder="" count="0" memberValueDatatype="130" unbalanced="0"/>
    <cacheHierarchy uniqueName="[TablaIndicadoresLogro].[IE]" caption="IE" attribute="1" defaultMemberUniqueName="[TablaIndicadoresLogro].[IE].[All]" allUniqueName="[TablaIndicadoresLogro].[IE].[All]" dimensionUniqueName="[TablaIndicadoresLogro]" displayFolder="" count="0" memberValueDatatype="130" unbalanced="0"/>
    <cacheHierarchy uniqueName="[TablaIndicadoresLogro].[CC]" caption="CC" attribute="1" defaultMemberUniqueName="[TablaIndicadoresLogro].[CC].[All]" allUniqueName="[TablaIndicadoresLogro].[CC].[All]" dimensionUniqueName="[TablaIndicadoresLogro]" displayFolder="" count="0" memberValueDatatype="130" unbalanced="0"/>
    <cacheHierarchy uniqueName="[TablaIndicadoresLogro].[AE]" caption="AE" attribute="1" defaultMemberUniqueName="[TablaIndicadoresLogro].[AE].[All]" allUniqueName="[TablaIndicadoresLogro].[AE].[All]" dimensionUniqueName="[TablaIndicadoresLogro]" displayFolder="" count="0" memberValueDatatype="130" unbalanced="0"/>
    <cacheHierarchy uniqueName="[TablaIndicadoresLogro].[SA]" caption="SA" attribute="1" defaultMemberUniqueName="[TablaIndicadoresLogro].[SA].[All]" allUniqueName="[TablaIndicadoresLogro].[SA].[All]" dimensionUniqueName="[TablaIndicadoresLogro]" displayFolder="" count="0" memberValueDatatype="20" unbalanced="0"/>
    <cacheHierarchy uniqueName="[tablaSAprendizaje].[SA]" caption="SA" attribute="1" defaultMemberUniqueName="[tablaSAprendizaje].[SA].[All]" allUniqueName="[tablaSAprendizaje].[SA].[All]" dimensionUniqueName="[tablaSAprendizaje]" displayFolder="" count="2" memberValueDatatype="20" unbalanced="0">
      <fieldsUsage count="2">
        <fieldUsage x="-1"/>
        <fieldUsage x="1"/>
      </fieldsUsage>
    </cacheHierarchy>
    <cacheHierarchy uniqueName="[tablaSAprendizaje].[DSA]" caption="DSA" attribute="1" defaultMemberUniqueName="[tablaSAprendizaje].[DSA].[All]" allUniqueName="[tablaSAprendizaje].[DSA].[All]" dimensionUniqueName="[tablaSAprendizaje]" displayFolder="" count="0" memberValueDatatype="130" unbalanced="0"/>
    <cacheHierarchy uniqueName="[tablaSAprendizaje].[HSA]" caption="HSA" attribute="1" defaultMemberUniqueName="[tablaSAprendizaje].[HSA].[All]" allUniqueName="[tablaSAprendizaje].[HSA].[All]" dimensionUniqueName="[tablaSAprendizaje]" displayFolder="" count="0" memberValueDatatype="20" unbalanced="0"/>
    <cacheHierarchy uniqueName="[tablaSAprendizaje].[Situación Aprendizaje]" caption="Situación Aprendizaje" attribute="1" defaultMemberUniqueName="[tablaSAprendizaje].[Situación Aprendizaje].[All]" allUniqueName="[tablaSAprendizaje].[Situación Aprendizaje].[All]" dimensionUniqueName="[tablaSAprendizaje]" displayFolder="" count="0" memberValueDatatype="130" unbalanced="0"/>
    <cacheHierarchy uniqueName="[Measures].[Suma de HSA]" caption="Suma de HSA" measure="1" displayFolder="" measureGroup="tablaSAprendizaje" count="0">
      <extLst>
        <ext xmlns:x15="http://schemas.microsoft.com/office/spreadsheetml/2010/11/main" uri="{B97F6D7D-B522-45F9-BDA1-12C45D357490}">
          <x15:cacheHierarchy aggregatedColumn="34"/>
        </ext>
      </extLst>
    </cacheHierarchy>
    <cacheHierarchy uniqueName="[Measures].[Recuento de DSA]" caption="Recuento de DSA" measure="1" displayFolder="" measureGroup="tablaSAprendizaje" count="0">
      <extLst>
        <ext xmlns:x15="http://schemas.microsoft.com/office/spreadsheetml/2010/11/main" uri="{B97F6D7D-B522-45F9-BDA1-12C45D357490}">
          <x15:cacheHierarchy aggregatedColumn="33"/>
        </ext>
      </extLst>
    </cacheHierarchy>
    <cacheHierarchy uniqueName="[Measures].[Suma de P]" caption="Suma de P" measure="1" displayFolder="" measureGroup="TablaCriteriosEvaluacion" count="0">
      <extLst>
        <ext xmlns:x15="http://schemas.microsoft.com/office/spreadsheetml/2010/11/main" uri="{B97F6D7D-B522-45F9-BDA1-12C45D357490}">
          <x15:cacheHierarchy aggregatedColumn="17"/>
        </ext>
      </extLst>
    </cacheHierarchy>
    <cacheHierarchy uniqueName="[Measures].[Suma de PIL]" caption="Suma de PIL" measure="1" displayFolder="" measureGroup="TablaIndicadoresLogro" count="0">
      <extLst>
        <ext xmlns:x15="http://schemas.microsoft.com/office/spreadsheetml/2010/11/main" uri="{B97F6D7D-B522-45F9-BDA1-12C45D357490}">
          <x15:cacheHierarchy aggregatedColumn="22"/>
        </ext>
      </extLst>
    </cacheHierarchy>
    <cacheHierarchy uniqueName="[Measures].[Peso_Agrupado_SA_CE]" caption="Peso_Agrupado_SA_CE" measure="1" displayFolder="" measureGroup="tablaSAprendizaje" count="0" oneField="1">
      <fieldsUsage count="1">
        <fieldUsage x="2"/>
      </fieldsUsage>
    </cacheHierarchy>
    <cacheHierarchy uniqueName="[Measures].[Valor_porcentaje_horas]" caption="Valor_porcentaje_horas" measure="1" displayFolder="" measureGroup="tablaSAprendizaje" count="0"/>
    <cacheHierarchy uniqueName="[Measures].[Valor_actividad]" caption="Valor_actividad" measure="1" displayFolder="" measureGroup="tablaSAprendizaje" count="0"/>
    <cacheHierarchy uniqueName="[Measures].[Medida_porcentajes_IE]" caption="Medida_porcentajes_IE" measure="1" displayFolder="" measureGroup="tablaSAprendizaje" count="0"/>
    <cacheHierarchy uniqueName="[Measures].[__XL_Count tablaSAprendizaje]" caption="__XL_Count tablaSAprendizaje" measure="1" displayFolder="" measureGroup="tablaSAprendizaje" count="0" hidden="1"/>
    <cacheHierarchy uniqueName="[Measures].[__XL_Count TablaCriteriosEvaluacion]" caption="__XL_Count TablaCriteriosEvaluacion" measure="1" displayFolder="" measureGroup="TablaCriteriosEvaluacion" count="0" hidden="1"/>
    <cacheHierarchy uniqueName="[Measures].[__XL_Count TablaActividades]" caption="__XL_Count TablaActividades" measure="1" displayFolder="" measureGroup="TablaActividades" count="0" hidden="1"/>
    <cacheHierarchy uniqueName="[Measures].[__XL_Count TablaIndicadoresLogro]" caption="__XL_Count TablaIndicadoresLogro" measure="1" displayFolder="" measureGroup="TablaIndicadoresLogro" count="0" hidden="1"/>
    <cacheHierarchy uniqueName="[Measures].[__No hay medidas definidas]" caption="__No hay medidas definidas" measure="1" displayFolder="" count="0" hidden="1"/>
  </cacheHierarchies>
  <kpis count="0"/>
  <dimensions count="5">
    <dimension measure="1" name="Measures" uniqueName="[Measures]" caption="Measures"/>
    <dimension name="TablaActividades" uniqueName="[TablaActividades]" caption="TablaActividades"/>
    <dimension name="TablaCriteriosEvaluacion" uniqueName="[TablaCriteriosEvaluacion]" caption="TablaCriteriosEvaluacion"/>
    <dimension name="TablaIndicadoresLogro" uniqueName="[TablaIndicadoresLogro]" caption="TablaIndicadoresLogro"/>
    <dimension name="tablaSAprendizaje" uniqueName="[tablaSAprendizaje]" caption="tablaSAprendizaje"/>
  </dimensions>
  <measureGroups count="4">
    <measureGroup name="TablaActividades" caption="TablaActividades"/>
    <measureGroup name="TablaCriteriosEvaluacion" caption="TablaCriteriosEvaluacion"/>
    <measureGroup name="TablaIndicadoresLogro" caption="TablaIndicadoresLogro"/>
    <measureGroup name="tablaSAprendizaje" caption="tablaSAprendizaje"/>
  </measureGroups>
  <maps count="9">
    <map measureGroup="0" dimension="1"/>
    <map measureGroup="0" dimension="2"/>
    <map measureGroup="0" dimension="3"/>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Ángel Pardos Blas" refreshedDate="46240.350448611112" createdVersion="5" refreshedVersion="8" minRefreshableVersion="3" recordCount="0" supportSubquery="1" supportAdvancedDrill="1" xr:uid="{EC52998D-48CE-4748-8395-FDDB8DECF53C}">
  <cacheSource type="external" connectionId="1"/>
  <cacheFields count="2">
    <cacheField name="[Measures].[Suma de HSA]" caption="Suma de HSA" numFmtId="0" hierarchy="36" level="32767"/>
    <cacheField name="[tablaSAprendizaje].[Situación Aprendizaje].[Situación Aprendizaje]" caption="Situación Aprendizaje" numFmtId="0" hierarchy="35" level="1">
      <sharedItems count="15">
        <s v="1: Números"/>
        <s v="10: Álgebra"/>
        <s v="11: Funciones"/>
        <s v="12: Movimiento y fuerzas"/>
        <s v="13: Energía y electricidad"/>
        <s v="14: Ecosistemas y modelado del relieve"/>
        <s v="15: Estadística y probabilidad"/>
        <s v="2: La Organización de la vida"/>
        <s v="3: Actividad científica y matemática"/>
        <s v="4: La nutrición"/>
        <s v="5: La materia"/>
        <s v="6: Los compuestos químicos"/>
        <s v="7: Reproducción y relación"/>
        <s v="8: Geometría I"/>
        <s v="9: Geometría II"/>
      </sharedItems>
    </cacheField>
  </cacheFields>
  <cacheHierarchies count="49">
    <cacheHierarchy uniqueName="[TablaActividades].[IL]" caption="IL" attribute="1" defaultMemberUniqueName="[TablaActividades].[IL].[All]" allUniqueName="[TablaActividades].[IL].[All]" dimensionUniqueName="[TablaActividades]" displayFolder="" count="0" memberValueDatatype="130" unbalanced="0"/>
    <cacheHierarchy uniqueName="[TablaActividades].[PIL]" caption="PIL" attribute="1" defaultMemberUniqueName="[TablaActividades].[PIL].[All]" allUniqueName="[TablaActividades].[PIL].[All]" dimensionUniqueName="[TablaActividades]" displayFolder="" count="0" memberValueDatatype="20" unbalanced="0"/>
    <cacheHierarchy uniqueName="[TablaActividades].[DIL]" caption="DIL" attribute="1" defaultMemberUniqueName="[TablaActividades].[DIL].[All]" allUniqueName="[TablaActividades].[DIL].[All]" dimensionUniqueName="[TablaActividades]" displayFolder="" count="0" memberValueDatatype="130" unbalanced="0"/>
    <cacheHierarchy uniqueName="[TablaActividades].[DO]" caption="DO" attribute="1" defaultMemberUniqueName="[TablaActividades].[DO].[All]" allUniqueName="[TablaActividades].[DO].[All]" dimensionUniqueName="[TablaActividades]" displayFolder="" count="0" memberValueDatatype="130" unbalanced="0"/>
    <cacheHierarchy uniqueName="[TablaActividades].[CON]" caption="CON" attribute="1" defaultMemberUniqueName="[TablaActividades].[CON].[All]" allUniqueName="[TablaActividades].[CON].[All]" dimensionUniqueName="[TablaActividades]" displayFolder="" count="0" memberValueDatatype="130" unbalanced="0"/>
    <cacheHierarchy uniqueName="[TablaActividades].[CT]" caption="CT" attribute="1" defaultMemberUniqueName="[TablaActividades].[CT].[All]" allUniqueName="[TablaActividades].[CT].[All]" dimensionUniqueName="[TablaActividades]" displayFolder="" count="0" memberValueDatatype="20" unbalanced="0"/>
    <cacheHierarchy uniqueName="[TablaActividades].[IE]" caption="IE" attribute="1" defaultMemberUniqueName="[TablaActividades].[IE].[All]" allUniqueName="[TablaActividades].[IE].[All]" dimensionUniqueName="[TablaActividades]" displayFolder="" count="0" memberValueDatatype="130" unbalanced="0"/>
    <cacheHierarchy uniqueName="[TablaActividades].[CC]" caption="CC" attribute="1" defaultMemberUniqueName="[TablaActividades].[CC].[All]" allUniqueName="[TablaActividades].[CC].[All]" dimensionUniqueName="[TablaActividades]" displayFolder="" count="0" memberValueDatatype="130" unbalanced="0"/>
    <cacheHierarchy uniqueName="[TablaActividades].[AE]" caption="AE" attribute="1" defaultMemberUniqueName="[TablaActividades].[AE].[All]" allUniqueName="[TablaActividades].[AE].[All]" dimensionUniqueName="[TablaActividades]" displayFolder="" count="0" memberValueDatatype="130" unbalanced="0"/>
    <cacheHierarchy uniqueName="[TablaActividades].[SA]" caption="SA" attribute="1" defaultMemberUniqueName="[TablaActividades].[SA].[All]" allUniqueName="[TablaActividades].[SA].[All]" dimensionUniqueName="[TablaActividades]" displayFolder="" count="0" memberValueDatatype="20" unbalanced="0"/>
    <cacheHierarchy uniqueName="[TablaActividades].[A]" caption="A" attribute="1" defaultMemberUniqueName="[TablaActividades].[A].[All]" allUniqueName="[TablaActividades].[A].[All]" dimensionUniqueName="[TablaActividades]" displayFolder="" count="0" memberValueDatatype="130" unbalanced="0"/>
    <cacheHierarchy uniqueName="[TablaActividades].[DA]" caption="DA" attribute="1" defaultMemberUniqueName="[TablaActividades].[DA].[All]" allUniqueName="[TablaActividades].[DA].[All]" dimensionUniqueName="[TablaActividades]" displayFolder="" count="0" memberValueDatatype="130" unbalanced="0"/>
    <cacheHierarchy uniqueName="[TablaActividades].[PA]" caption="PA" attribute="1" defaultMemberUniqueName="[TablaActividades].[PA].[All]" allUniqueName="[TablaActividades].[PA].[All]" dimensionUniqueName="[TablaActividades]" displayFolder="" count="0" memberValueDatatype="20" unbalanced="0"/>
    <cacheHierarchy uniqueName="[TablaActividades].[PA%]" caption="PA%" attribute="1" defaultMemberUniqueName="[TablaActividades].[PA%].[All]" allUniqueName="[TablaActividades].[PA%].[All]" dimensionUniqueName="[TablaActividades]" displayFolder="" count="0" memberValueDatatype="5" unbalanced="0"/>
    <cacheHierarchy uniqueName="[TablaActividades].[FACTOR_IDOCEO]" caption="FACTOR_IDOCEO" attribute="1" defaultMemberUniqueName="[TablaActividades].[FACTOR_IDOCEO].[All]" allUniqueName="[TablaActividades].[FACTOR_IDOCEO].[All]" dimensionUniqueName="[TablaActividades]" displayFolder="" count="0" memberValueDatatype="5" unbalanced="0"/>
    <cacheHierarchy uniqueName="[TablaCriteriosEvaluacion].[CE]" caption="CE" attribute="1" defaultMemberUniqueName="[TablaCriteriosEvaluacion].[CE].[All]" allUniqueName="[TablaCriteriosEvaluacion].[CE].[All]" dimensionUniqueName="[TablaCriteriosEvaluacion]" displayFolder="" count="0" memberValueDatatype="130" unbalanced="0"/>
    <cacheHierarchy uniqueName="[TablaCriteriosEvaluacion].[CED]" caption="CED" attribute="1" defaultMemberUniqueName="[TablaCriteriosEvaluacion].[CED].[All]" allUniqueName="[TablaCriteriosEvaluacion].[CED].[All]" dimensionUniqueName="[TablaCriteriosEvaluacion]" displayFolder="" count="0" memberValueDatatype="130" unbalanced="0"/>
    <cacheHierarchy uniqueName="[TablaCriteriosEvaluacion].[P]" caption="P" attribute="1" defaultMemberUniqueName="[TablaCriteriosEvaluacion].[P].[All]" allUniqueName="[TablaCriteriosEvaluacion].[P].[All]" dimensionUniqueName="[TablaCriteriosEvaluacion]" displayFolder="" count="0" memberValueDatatype="20" unbalanced="0"/>
    <cacheHierarchy uniqueName="[TablaCriteriosEvaluacion].[P%]" caption="P%" attribute="1" defaultMemberUniqueName="[TablaCriteriosEvaluacion].[P%].[All]" allUniqueName="[TablaCriteriosEvaluacion].[P%].[All]" dimensionUniqueName="[TablaCriteriosEvaluacion]" displayFolder="" count="0" memberValueDatatype="5" unbalanced="0"/>
    <cacheHierarchy uniqueName="[TablaIndicadoresLogro].[CE]" caption="CE" attribute="1" defaultMemberUniqueName="[TablaIndicadoresLogro].[CE].[All]" allUniqueName="[TablaIndicadoresLogro].[CE].[All]" dimensionUniqueName="[TablaIndicadoresLogro]" displayFolder="" count="0" memberValueDatatype="130" unbalanced="0"/>
    <cacheHierarchy uniqueName="[TablaIndicadoresLogro].[CED]" caption="CED" attribute="1" defaultMemberUniqueName="[TablaIndicadoresLogro].[CED].[All]" allUniqueName="[TablaIndicadoresLogro].[CED].[All]" dimensionUniqueName="[TablaIndicadoresLogro]" displayFolder="" count="0" memberValueDatatype="130" unbalanced="0"/>
    <cacheHierarchy uniqueName="[TablaIndicadoresLogro].[IL]" caption="IL" attribute="1" defaultMemberUniqueName="[TablaIndicadoresLogro].[IL].[All]" allUniqueName="[TablaIndicadoresLogro].[IL].[All]" dimensionUniqueName="[TablaIndicadoresLogro]" displayFolder="" count="0" memberValueDatatype="130" unbalanced="0"/>
    <cacheHierarchy uniqueName="[TablaIndicadoresLogro].[PIL]" caption="PIL" attribute="1" defaultMemberUniqueName="[TablaIndicadoresLogro].[PIL].[All]" allUniqueName="[TablaIndicadoresLogro].[PIL].[All]" dimensionUniqueName="[TablaIndicadoresLogro]" displayFolder="" count="0" memberValueDatatype="20" unbalanced="0"/>
    <cacheHierarchy uniqueName="[TablaIndicadoresLogro].[PIL%]" caption="PIL%" attribute="1" defaultMemberUniqueName="[TablaIndicadoresLogro].[PIL%].[All]" allUniqueName="[TablaIndicadoresLogro].[PIL%].[All]" dimensionUniqueName="[TablaIndicadoresLogro]" displayFolder="" count="0" memberValueDatatype="20" unbalanced="0"/>
    <cacheHierarchy uniqueName="[TablaIndicadoresLogro].[DIL]" caption="DIL" attribute="1" defaultMemberUniqueName="[TablaIndicadoresLogro].[DIL].[All]" allUniqueName="[TablaIndicadoresLogro].[DIL].[All]" dimensionUniqueName="[TablaIndicadoresLogro]" displayFolder="" count="0" memberValueDatatype="130" unbalanced="0"/>
    <cacheHierarchy uniqueName="[TablaIndicadoresLogro].[DO]" caption="DO" attribute="1" defaultMemberUniqueName="[TablaIndicadoresLogro].[DO].[All]" allUniqueName="[TablaIndicadoresLogro].[DO].[All]" dimensionUniqueName="[TablaIndicadoresLogro]" displayFolder="" count="0" memberValueDatatype="130" unbalanced="0"/>
    <cacheHierarchy uniqueName="[TablaIndicadoresLogro].[CON]" caption="CON" attribute="1" defaultMemberUniqueName="[TablaIndicadoresLogro].[CON].[All]" allUniqueName="[TablaIndicadoresLogro].[CON].[All]" dimensionUniqueName="[TablaIndicadoresLogro]" displayFolder="" count="0" memberValueDatatype="130" unbalanced="0"/>
    <cacheHierarchy uniqueName="[TablaIndicadoresLogro].[CT]" caption="CT" attribute="1" defaultMemberUniqueName="[TablaIndicadoresLogro].[CT].[All]" allUniqueName="[TablaIndicadoresLogro].[CT].[All]" dimensionUniqueName="[TablaIndicadoresLogro]" displayFolder="" count="0" memberValueDatatype="130" unbalanced="0"/>
    <cacheHierarchy uniqueName="[TablaIndicadoresLogro].[IE]" caption="IE" attribute="1" defaultMemberUniqueName="[TablaIndicadoresLogro].[IE].[All]" allUniqueName="[TablaIndicadoresLogro].[IE].[All]" dimensionUniqueName="[TablaIndicadoresLogro]" displayFolder="" count="0" memberValueDatatype="130" unbalanced="0"/>
    <cacheHierarchy uniqueName="[TablaIndicadoresLogro].[CC]" caption="CC" attribute="1" defaultMemberUniqueName="[TablaIndicadoresLogro].[CC].[All]" allUniqueName="[TablaIndicadoresLogro].[CC].[All]" dimensionUniqueName="[TablaIndicadoresLogro]" displayFolder="" count="0" memberValueDatatype="130" unbalanced="0"/>
    <cacheHierarchy uniqueName="[TablaIndicadoresLogro].[AE]" caption="AE" attribute="1" defaultMemberUniqueName="[TablaIndicadoresLogro].[AE].[All]" allUniqueName="[TablaIndicadoresLogro].[AE].[All]" dimensionUniqueName="[TablaIndicadoresLogro]" displayFolder="" count="0" memberValueDatatype="130" unbalanced="0"/>
    <cacheHierarchy uniqueName="[TablaIndicadoresLogro].[SA]" caption="SA" attribute="1" defaultMemberUniqueName="[TablaIndicadoresLogro].[SA].[All]" allUniqueName="[TablaIndicadoresLogro].[SA].[All]" dimensionUniqueName="[TablaIndicadoresLogro]" displayFolder="" count="0" memberValueDatatype="20" unbalanced="0"/>
    <cacheHierarchy uniqueName="[tablaSAprendizaje].[SA]" caption="SA" attribute="1" defaultMemberUniqueName="[tablaSAprendizaje].[SA].[All]" allUniqueName="[tablaSAprendizaje].[SA].[All]" dimensionUniqueName="[tablaSAprendizaje]" displayFolder="" count="0" memberValueDatatype="20" unbalanced="0"/>
    <cacheHierarchy uniqueName="[tablaSAprendizaje].[DSA]" caption="DSA" attribute="1" defaultMemberUniqueName="[tablaSAprendizaje].[DSA].[All]" allUniqueName="[tablaSAprendizaje].[DSA].[All]" dimensionUniqueName="[tablaSAprendizaje]" displayFolder="" count="0" memberValueDatatype="130" unbalanced="0"/>
    <cacheHierarchy uniqueName="[tablaSAprendizaje].[HSA]" caption="HSA" attribute="1" defaultMemberUniqueName="[tablaSAprendizaje].[HSA].[All]" allUniqueName="[tablaSAprendizaje].[HSA].[All]" dimensionUniqueName="[tablaSAprendizaje]" displayFolder="" count="0" memberValueDatatype="20" unbalanced="0"/>
    <cacheHierarchy uniqueName="[tablaSAprendizaje].[Situación Aprendizaje]" caption="Situación Aprendizaje" attribute="1" defaultMemberUniqueName="[tablaSAprendizaje].[Situación Aprendizaje].[All]" allUniqueName="[tablaSAprendizaje].[Situación Aprendizaje].[All]" dimensionUniqueName="[tablaSAprendizaje]" displayFolder="" count="2" memberValueDatatype="130" unbalanced="0">
      <fieldsUsage count="2">
        <fieldUsage x="-1"/>
        <fieldUsage x="1"/>
      </fieldsUsage>
    </cacheHierarchy>
    <cacheHierarchy uniqueName="[Measures].[Suma de HSA]" caption="Suma de HSA" measure="1" displayFolder="" measureGroup="tablaSAprendizaje" count="0" oneField="1">
      <fieldsUsage count="1">
        <fieldUsage x="0"/>
      </fieldsUsage>
      <extLst>
        <ext xmlns:x15="http://schemas.microsoft.com/office/spreadsheetml/2010/11/main" uri="{B97F6D7D-B522-45F9-BDA1-12C45D357490}">
          <x15:cacheHierarchy aggregatedColumn="34"/>
        </ext>
      </extLst>
    </cacheHierarchy>
    <cacheHierarchy uniqueName="[Measures].[Recuento de DSA]" caption="Recuento de DSA" measure="1" displayFolder="" measureGroup="tablaSAprendizaje" count="0">
      <extLst>
        <ext xmlns:x15="http://schemas.microsoft.com/office/spreadsheetml/2010/11/main" uri="{B97F6D7D-B522-45F9-BDA1-12C45D357490}">
          <x15:cacheHierarchy aggregatedColumn="33"/>
        </ext>
      </extLst>
    </cacheHierarchy>
    <cacheHierarchy uniqueName="[Measures].[Suma de P]" caption="Suma de P" measure="1" displayFolder="" measureGroup="TablaCriteriosEvaluacion" count="0">
      <extLst>
        <ext xmlns:x15="http://schemas.microsoft.com/office/spreadsheetml/2010/11/main" uri="{B97F6D7D-B522-45F9-BDA1-12C45D357490}">
          <x15:cacheHierarchy aggregatedColumn="17"/>
        </ext>
      </extLst>
    </cacheHierarchy>
    <cacheHierarchy uniqueName="[Measures].[Suma de PIL]" caption="Suma de PIL" measure="1" displayFolder="" measureGroup="TablaIndicadoresLogro" count="0">
      <extLst>
        <ext xmlns:x15="http://schemas.microsoft.com/office/spreadsheetml/2010/11/main" uri="{B97F6D7D-B522-45F9-BDA1-12C45D357490}">
          <x15:cacheHierarchy aggregatedColumn="22"/>
        </ext>
      </extLst>
    </cacheHierarchy>
    <cacheHierarchy uniqueName="[Measures].[Peso_Agrupado_SA_CE]" caption="Peso_Agrupado_SA_CE" measure="1" displayFolder="" measureGroup="tablaSAprendizaje" count="0"/>
    <cacheHierarchy uniqueName="[Measures].[Valor_porcentaje_horas]" caption="Valor_porcentaje_horas" measure="1" displayFolder="" measureGroup="tablaSAprendizaje" count="0"/>
    <cacheHierarchy uniqueName="[Measures].[Valor_actividad]" caption="Valor_actividad" measure="1" displayFolder="" measureGroup="tablaSAprendizaje" count="0"/>
    <cacheHierarchy uniqueName="[Measures].[Medida_porcentajes_IE]" caption="Medida_porcentajes_IE" measure="1" displayFolder="" measureGroup="tablaSAprendizaje" count="0"/>
    <cacheHierarchy uniqueName="[Measures].[__XL_Count tablaSAprendizaje]" caption="__XL_Count tablaSAprendizaje" measure="1" displayFolder="" measureGroup="tablaSAprendizaje" count="0" hidden="1"/>
    <cacheHierarchy uniqueName="[Measures].[__XL_Count TablaCriteriosEvaluacion]" caption="__XL_Count TablaCriteriosEvaluacion" measure="1" displayFolder="" measureGroup="TablaCriteriosEvaluacion" count="0" hidden="1"/>
    <cacheHierarchy uniqueName="[Measures].[__XL_Count TablaActividades]" caption="__XL_Count TablaActividades" measure="1" displayFolder="" measureGroup="TablaActividades" count="0" hidden="1"/>
    <cacheHierarchy uniqueName="[Measures].[__XL_Count TablaIndicadoresLogro]" caption="__XL_Count TablaIndicadoresLogro" measure="1" displayFolder="" measureGroup="TablaIndicadoresLogro" count="0" hidden="1"/>
    <cacheHierarchy uniqueName="[Measures].[__No hay medidas definidas]" caption="__No hay medidas definidas" measure="1" displayFolder="" count="0" hidden="1"/>
  </cacheHierarchies>
  <kpis count="0"/>
  <dimensions count="5">
    <dimension measure="1" name="Measures" uniqueName="[Measures]" caption="Measures"/>
    <dimension name="TablaActividades" uniqueName="[TablaActividades]" caption="TablaActividades"/>
    <dimension name="TablaCriteriosEvaluacion" uniqueName="[TablaCriteriosEvaluacion]" caption="TablaCriteriosEvaluacion"/>
    <dimension name="TablaIndicadoresLogro" uniqueName="[TablaIndicadoresLogro]" caption="TablaIndicadoresLogro"/>
    <dimension name="tablaSAprendizaje" uniqueName="[tablaSAprendizaje]" caption="tablaSAprendizaje"/>
  </dimensions>
  <measureGroups count="4">
    <measureGroup name="TablaActividades" caption="TablaActividades"/>
    <measureGroup name="TablaCriteriosEvaluacion" caption="TablaCriteriosEvaluacion"/>
    <measureGroup name="TablaIndicadoresLogro" caption="TablaIndicadoresLogro"/>
    <measureGroup name="tablaSAprendizaje" caption="tablaSAprendizaje"/>
  </measureGroups>
  <maps count="9">
    <map measureGroup="0" dimension="1"/>
    <map measureGroup="0" dimension="2"/>
    <map measureGroup="0" dimension="3"/>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Ángel Pardos Blas" refreshedDate="46240.350449305559" createdVersion="8" refreshedVersion="8" minRefreshableVersion="3" recordCount="0" supportSubquery="1" supportAdvancedDrill="1" xr:uid="{4480BF32-1694-425B-9F72-3A43E1157B07}">
  <cacheSource type="external" connectionId="1"/>
  <cacheFields count="2">
    <cacheField name="[Measures].[Medida_porcentajes_IE]" caption="Medida_porcentajes_IE" numFmtId="0" hierarchy="43" level="32767"/>
    <cacheField name="[TablaIndicadoresLogro].[IE].[IE]" caption="IE" numFmtId="0" hierarchy="28" level="1">
      <sharedItems containsBlank="1" count="2">
        <m/>
        <s v="Portfolio"/>
      </sharedItems>
    </cacheField>
  </cacheFields>
  <cacheHierarchies count="49">
    <cacheHierarchy uniqueName="[TablaActividades].[IL]" caption="IL" attribute="1" defaultMemberUniqueName="[TablaActividades].[IL].[All]" allUniqueName="[TablaActividades].[IL].[All]" dimensionUniqueName="[TablaActividades]" displayFolder="" count="0" memberValueDatatype="130" unbalanced="0"/>
    <cacheHierarchy uniqueName="[TablaActividades].[PIL]" caption="PIL" attribute="1" defaultMemberUniqueName="[TablaActividades].[PIL].[All]" allUniqueName="[TablaActividades].[PIL].[All]" dimensionUniqueName="[TablaActividades]" displayFolder="" count="0" memberValueDatatype="20" unbalanced="0"/>
    <cacheHierarchy uniqueName="[TablaActividades].[DIL]" caption="DIL" attribute="1" defaultMemberUniqueName="[TablaActividades].[DIL].[All]" allUniqueName="[TablaActividades].[DIL].[All]" dimensionUniqueName="[TablaActividades]" displayFolder="" count="0" memberValueDatatype="130" unbalanced="0"/>
    <cacheHierarchy uniqueName="[TablaActividades].[DO]" caption="DO" attribute="1" defaultMemberUniqueName="[TablaActividades].[DO].[All]" allUniqueName="[TablaActividades].[DO].[All]" dimensionUniqueName="[TablaActividades]" displayFolder="" count="0" memberValueDatatype="130" unbalanced="0"/>
    <cacheHierarchy uniqueName="[TablaActividades].[CON]" caption="CON" attribute="1" defaultMemberUniqueName="[TablaActividades].[CON].[All]" allUniqueName="[TablaActividades].[CON].[All]" dimensionUniqueName="[TablaActividades]" displayFolder="" count="0" memberValueDatatype="130" unbalanced="0"/>
    <cacheHierarchy uniqueName="[TablaActividades].[CT]" caption="CT" attribute="1" defaultMemberUniqueName="[TablaActividades].[CT].[All]" allUniqueName="[TablaActividades].[CT].[All]" dimensionUniqueName="[TablaActividades]" displayFolder="" count="0" memberValueDatatype="20" unbalanced="0"/>
    <cacheHierarchy uniqueName="[TablaActividades].[IE]" caption="IE" attribute="1" defaultMemberUniqueName="[TablaActividades].[IE].[All]" allUniqueName="[TablaActividades].[IE].[All]" dimensionUniqueName="[TablaActividades]" displayFolder="" count="0" memberValueDatatype="130" unbalanced="0"/>
    <cacheHierarchy uniqueName="[TablaActividades].[CC]" caption="CC" attribute="1" defaultMemberUniqueName="[TablaActividades].[CC].[All]" allUniqueName="[TablaActividades].[CC].[All]" dimensionUniqueName="[TablaActividades]" displayFolder="" count="0" memberValueDatatype="130" unbalanced="0"/>
    <cacheHierarchy uniqueName="[TablaActividades].[AE]" caption="AE" attribute="1" defaultMemberUniqueName="[TablaActividades].[AE].[All]" allUniqueName="[TablaActividades].[AE].[All]" dimensionUniqueName="[TablaActividades]" displayFolder="" count="0" memberValueDatatype="130" unbalanced="0"/>
    <cacheHierarchy uniqueName="[TablaActividades].[SA]" caption="SA" attribute="1" defaultMemberUniqueName="[TablaActividades].[SA].[All]" allUniqueName="[TablaActividades].[SA].[All]" dimensionUniqueName="[TablaActividades]" displayFolder="" count="0" memberValueDatatype="20" unbalanced="0"/>
    <cacheHierarchy uniqueName="[TablaActividades].[A]" caption="A" attribute="1" defaultMemberUniqueName="[TablaActividades].[A].[All]" allUniqueName="[TablaActividades].[A].[All]" dimensionUniqueName="[TablaActividades]" displayFolder="" count="0" memberValueDatatype="130" unbalanced="0"/>
    <cacheHierarchy uniqueName="[TablaActividades].[DA]" caption="DA" attribute="1" defaultMemberUniqueName="[TablaActividades].[DA].[All]" allUniqueName="[TablaActividades].[DA].[All]" dimensionUniqueName="[TablaActividades]" displayFolder="" count="0" memberValueDatatype="130" unbalanced="0"/>
    <cacheHierarchy uniqueName="[TablaActividades].[PA]" caption="PA" attribute="1" defaultMemberUniqueName="[TablaActividades].[PA].[All]" allUniqueName="[TablaActividades].[PA].[All]" dimensionUniqueName="[TablaActividades]" displayFolder="" count="0" memberValueDatatype="20" unbalanced="0"/>
    <cacheHierarchy uniqueName="[TablaActividades].[PA%]" caption="PA%" attribute="1" defaultMemberUniqueName="[TablaActividades].[PA%].[All]" allUniqueName="[TablaActividades].[PA%].[All]" dimensionUniqueName="[TablaActividades]" displayFolder="" count="0" memberValueDatatype="5" unbalanced="0"/>
    <cacheHierarchy uniqueName="[TablaActividades].[FACTOR_IDOCEO]" caption="FACTOR_IDOCEO" attribute="1" defaultMemberUniqueName="[TablaActividades].[FACTOR_IDOCEO].[All]" allUniqueName="[TablaActividades].[FACTOR_IDOCEO].[All]" dimensionUniqueName="[TablaActividades]" displayFolder="" count="0" memberValueDatatype="5" unbalanced="0"/>
    <cacheHierarchy uniqueName="[TablaCriteriosEvaluacion].[CE]" caption="CE" attribute="1" defaultMemberUniqueName="[TablaCriteriosEvaluacion].[CE].[All]" allUniqueName="[TablaCriteriosEvaluacion].[CE].[All]" dimensionUniqueName="[TablaCriteriosEvaluacion]" displayFolder="" count="0" memberValueDatatype="130" unbalanced="0"/>
    <cacheHierarchy uniqueName="[TablaCriteriosEvaluacion].[CED]" caption="CED" attribute="1" defaultMemberUniqueName="[TablaCriteriosEvaluacion].[CED].[All]" allUniqueName="[TablaCriteriosEvaluacion].[CED].[All]" dimensionUniqueName="[TablaCriteriosEvaluacion]" displayFolder="" count="0" memberValueDatatype="130" unbalanced="0"/>
    <cacheHierarchy uniqueName="[TablaCriteriosEvaluacion].[P]" caption="P" attribute="1" defaultMemberUniqueName="[TablaCriteriosEvaluacion].[P].[All]" allUniqueName="[TablaCriteriosEvaluacion].[P].[All]" dimensionUniqueName="[TablaCriteriosEvaluacion]" displayFolder="" count="0" memberValueDatatype="20" unbalanced="0"/>
    <cacheHierarchy uniqueName="[TablaCriteriosEvaluacion].[P%]" caption="P%" attribute="1" defaultMemberUniqueName="[TablaCriteriosEvaluacion].[P%].[All]" allUniqueName="[TablaCriteriosEvaluacion].[P%].[All]" dimensionUniqueName="[TablaCriteriosEvaluacion]" displayFolder="" count="0" memberValueDatatype="5" unbalanced="0"/>
    <cacheHierarchy uniqueName="[TablaIndicadoresLogro].[CE]" caption="CE" attribute="1" defaultMemberUniqueName="[TablaIndicadoresLogro].[CE].[All]" allUniqueName="[TablaIndicadoresLogro].[CE].[All]" dimensionUniqueName="[TablaIndicadoresLogro]" displayFolder="" count="0" memberValueDatatype="130" unbalanced="0"/>
    <cacheHierarchy uniqueName="[TablaIndicadoresLogro].[CED]" caption="CED" attribute="1" defaultMemberUniqueName="[TablaIndicadoresLogro].[CED].[All]" allUniqueName="[TablaIndicadoresLogro].[CED].[All]" dimensionUniqueName="[TablaIndicadoresLogro]" displayFolder="" count="0" memberValueDatatype="130" unbalanced="0"/>
    <cacheHierarchy uniqueName="[TablaIndicadoresLogro].[IL]" caption="IL" attribute="1" defaultMemberUniqueName="[TablaIndicadoresLogro].[IL].[All]" allUniqueName="[TablaIndicadoresLogro].[IL].[All]" dimensionUniqueName="[TablaIndicadoresLogro]" displayFolder="" count="0" memberValueDatatype="130" unbalanced="0"/>
    <cacheHierarchy uniqueName="[TablaIndicadoresLogro].[PIL]" caption="PIL" attribute="1" defaultMemberUniqueName="[TablaIndicadoresLogro].[PIL].[All]" allUniqueName="[TablaIndicadoresLogro].[PIL].[All]" dimensionUniqueName="[TablaIndicadoresLogro]" displayFolder="" count="0" memberValueDatatype="20" unbalanced="0"/>
    <cacheHierarchy uniqueName="[TablaIndicadoresLogro].[PIL%]" caption="PIL%" attribute="1" defaultMemberUniqueName="[TablaIndicadoresLogro].[PIL%].[All]" allUniqueName="[TablaIndicadoresLogro].[PIL%].[All]" dimensionUniqueName="[TablaIndicadoresLogro]" displayFolder="" count="0" memberValueDatatype="20" unbalanced="0"/>
    <cacheHierarchy uniqueName="[TablaIndicadoresLogro].[DIL]" caption="DIL" attribute="1" defaultMemberUniqueName="[TablaIndicadoresLogro].[DIL].[All]" allUniqueName="[TablaIndicadoresLogro].[DIL].[All]" dimensionUniqueName="[TablaIndicadoresLogro]" displayFolder="" count="0" memberValueDatatype="130" unbalanced="0"/>
    <cacheHierarchy uniqueName="[TablaIndicadoresLogro].[DO]" caption="DO" attribute="1" defaultMemberUniqueName="[TablaIndicadoresLogro].[DO].[All]" allUniqueName="[TablaIndicadoresLogro].[DO].[All]" dimensionUniqueName="[TablaIndicadoresLogro]" displayFolder="" count="0" memberValueDatatype="130" unbalanced="0"/>
    <cacheHierarchy uniqueName="[TablaIndicadoresLogro].[CON]" caption="CON" attribute="1" defaultMemberUniqueName="[TablaIndicadoresLogro].[CON].[All]" allUniqueName="[TablaIndicadoresLogro].[CON].[All]" dimensionUniqueName="[TablaIndicadoresLogro]" displayFolder="" count="0" memberValueDatatype="130" unbalanced="0"/>
    <cacheHierarchy uniqueName="[TablaIndicadoresLogro].[CT]" caption="CT" attribute="1" defaultMemberUniqueName="[TablaIndicadoresLogro].[CT].[All]" allUniqueName="[TablaIndicadoresLogro].[CT].[All]" dimensionUniqueName="[TablaIndicadoresLogro]" displayFolder="" count="0" memberValueDatatype="130" unbalanced="0"/>
    <cacheHierarchy uniqueName="[TablaIndicadoresLogro].[IE]" caption="IE" attribute="1" defaultMemberUniqueName="[TablaIndicadoresLogro].[IE].[All]" allUniqueName="[TablaIndicadoresLogro].[IE].[All]" dimensionUniqueName="[TablaIndicadoresLogro]" displayFolder="" count="2" memberValueDatatype="130" unbalanced="0">
      <fieldsUsage count="2">
        <fieldUsage x="-1"/>
        <fieldUsage x="1"/>
      </fieldsUsage>
    </cacheHierarchy>
    <cacheHierarchy uniqueName="[TablaIndicadoresLogro].[CC]" caption="CC" attribute="1" defaultMemberUniqueName="[TablaIndicadoresLogro].[CC].[All]" allUniqueName="[TablaIndicadoresLogro].[CC].[All]" dimensionUniqueName="[TablaIndicadoresLogro]" displayFolder="" count="0" memberValueDatatype="130" unbalanced="0"/>
    <cacheHierarchy uniqueName="[TablaIndicadoresLogro].[AE]" caption="AE" attribute="1" defaultMemberUniqueName="[TablaIndicadoresLogro].[AE].[All]" allUniqueName="[TablaIndicadoresLogro].[AE].[All]" dimensionUniqueName="[TablaIndicadoresLogro]" displayFolder="" count="0" memberValueDatatype="130" unbalanced="0"/>
    <cacheHierarchy uniqueName="[TablaIndicadoresLogro].[SA]" caption="SA" attribute="1" defaultMemberUniqueName="[TablaIndicadoresLogro].[SA].[All]" allUniqueName="[TablaIndicadoresLogro].[SA].[All]" dimensionUniqueName="[TablaIndicadoresLogro]" displayFolder="" count="0" memberValueDatatype="20" unbalanced="0"/>
    <cacheHierarchy uniqueName="[tablaSAprendizaje].[SA]" caption="SA" attribute="1" defaultMemberUniqueName="[tablaSAprendizaje].[SA].[All]" allUniqueName="[tablaSAprendizaje].[SA].[All]" dimensionUniqueName="[tablaSAprendizaje]" displayFolder="" count="0" memberValueDatatype="20" unbalanced="0"/>
    <cacheHierarchy uniqueName="[tablaSAprendizaje].[DSA]" caption="DSA" attribute="1" defaultMemberUniqueName="[tablaSAprendizaje].[DSA].[All]" allUniqueName="[tablaSAprendizaje].[DSA].[All]" dimensionUniqueName="[tablaSAprendizaje]" displayFolder="" count="0" memberValueDatatype="130" unbalanced="0"/>
    <cacheHierarchy uniqueName="[tablaSAprendizaje].[HSA]" caption="HSA" attribute="1" defaultMemberUniqueName="[tablaSAprendizaje].[HSA].[All]" allUniqueName="[tablaSAprendizaje].[HSA].[All]" dimensionUniqueName="[tablaSAprendizaje]" displayFolder="" count="0" memberValueDatatype="20" unbalanced="0"/>
    <cacheHierarchy uniqueName="[tablaSAprendizaje].[Situación Aprendizaje]" caption="Situación Aprendizaje" attribute="1" defaultMemberUniqueName="[tablaSAprendizaje].[Situación Aprendizaje].[All]" allUniqueName="[tablaSAprendizaje].[Situación Aprendizaje].[All]" dimensionUniqueName="[tablaSAprendizaje]" displayFolder="" count="0" memberValueDatatype="130" unbalanced="0"/>
    <cacheHierarchy uniqueName="[Measures].[Suma de HSA]" caption="Suma de HSA" measure="1" displayFolder="" measureGroup="tablaSAprendizaje" count="0">
      <extLst>
        <ext xmlns:x15="http://schemas.microsoft.com/office/spreadsheetml/2010/11/main" uri="{B97F6D7D-B522-45F9-BDA1-12C45D357490}">
          <x15:cacheHierarchy aggregatedColumn="34"/>
        </ext>
      </extLst>
    </cacheHierarchy>
    <cacheHierarchy uniqueName="[Measures].[Recuento de DSA]" caption="Recuento de DSA" measure="1" displayFolder="" measureGroup="tablaSAprendizaje" count="0">
      <extLst>
        <ext xmlns:x15="http://schemas.microsoft.com/office/spreadsheetml/2010/11/main" uri="{B97F6D7D-B522-45F9-BDA1-12C45D357490}">
          <x15:cacheHierarchy aggregatedColumn="33"/>
        </ext>
      </extLst>
    </cacheHierarchy>
    <cacheHierarchy uniqueName="[Measures].[Suma de P]" caption="Suma de P" measure="1" displayFolder="" measureGroup="TablaCriteriosEvaluacion" count="0">
      <extLst>
        <ext xmlns:x15="http://schemas.microsoft.com/office/spreadsheetml/2010/11/main" uri="{B97F6D7D-B522-45F9-BDA1-12C45D357490}">
          <x15:cacheHierarchy aggregatedColumn="17"/>
        </ext>
      </extLst>
    </cacheHierarchy>
    <cacheHierarchy uniqueName="[Measures].[Suma de PIL]" caption="Suma de PIL" measure="1" displayFolder="" measureGroup="TablaIndicadoresLogro" count="0">
      <extLst>
        <ext xmlns:x15="http://schemas.microsoft.com/office/spreadsheetml/2010/11/main" uri="{B97F6D7D-B522-45F9-BDA1-12C45D357490}">
          <x15:cacheHierarchy aggregatedColumn="22"/>
        </ext>
      </extLst>
    </cacheHierarchy>
    <cacheHierarchy uniqueName="[Measures].[Peso_Agrupado_SA_CE]" caption="Peso_Agrupado_SA_CE" measure="1" displayFolder="" measureGroup="tablaSAprendizaje" count="0"/>
    <cacheHierarchy uniqueName="[Measures].[Valor_porcentaje_horas]" caption="Valor_porcentaje_horas" measure="1" displayFolder="" measureGroup="tablaSAprendizaje" count="0"/>
    <cacheHierarchy uniqueName="[Measures].[Valor_actividad]" caption="Valor_actividad" measure="1" displayFolder="" measureGroup="tablaSAprendizaje" count="0"/>
    <cacheHierarchy uniqueName="[Measures].[Medida_porcentajes_IE]" caption="Medida_porcentajes_IE" measure="1" displayFolder="" measureGroup="tablaSAprendizaje" count="0" oneField="1">
      <fieldsUsage count="1">
        <fieldUsage x="0"/>
      </fieldsUsage>
    </cacheHierarchy>
    <cacheHierarchy uniqueName="[Measures].[__XL_Count tablaSAprendizaje]" caption="__XL_Count tablaSAprendizaje" measure="1" displayFolder="" measureGroup="tablaSAprendizaje" count="0" hidden="1"/>
    <cacheHierarchy uniqueName="[Measures].[__XL_Count TablaCriteriosEvaluacion]" caption="__XL_Count TablaCriteriosEvaluacion" measure="1" displayFolder="" measureGroup="TablaCriteriosEvaluacion" count="0" hidden="1"/>
    <cacheHierarchy uniqueName="[Measures].[__XL_Count TablaActividades]" caption="__XL_Count TablaActividades" measure="1" displayFolder="" measureGroup="TablaActividades" count="0" hidden="1"/>
    <cacheHierarchy uniqueName="[Measures].[__XL_Count TablaIndicadoresLogro]" caption="__XL_Count TablaIndicadoresLogro" measure="1" displayFolder="" measureGroup="TablaIndicadoresLogro" count="0" hidden="1"/>
    <cacheHierarchy uniqueName="[Measures].[__No hay medidas definidas]" caption="__No hay medidas definidas" measure="1" displayFolder="" count="0" hidden="1"/>
  </cacheHierarchies>
  <kpis count="0"/>
  <dimensions count="5">
    <dimension measure="1" name="Measures" uniqueName="[Measures]" caption="Measures"/>
    <dimension name="TablaActividades" uniqueName="[TablaActividades]" caption="TablaActividades"/>
    <dimension name="TablaCriteriosEvaluacion" uniqueName="[TablaCriteriosEvaluacion]" caption="TablaCriteriosEvaluacion"/>
    <dimension name="TablaIndicadoresLogro" uniqueName="[TablaIndicadoresLogro]" caption="TablaIndicadoresLogro"/>
    <dimension name="tablaSAprendizaje" uniqueName="[tablaSAprendizaje]" caption="tablaSAprendizaje"/>
  </dimensions>
  <measureGroups count="4">
    <measureGroup name="TablaActividades" caption="TablaActividades"/>
    <measureGroup name="TablaCriteriosEvaluacion" caption="TablaCriteriosEvaluacion"/>
    <measureGroup name="TablaIndicadoresLogro" caption="TablaIndicadoresLogro"/>
    <measureGroup name="tablaSAprendizaje" caption="tablaSAprendizaje"/>
  </measureGroups>
  <maps count="9">
    <map measureGroup="0" dimension="1"/>
    <map measureGroup="0" dimension="2"/>
    <map measureGroup="0" dimension="3"/>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Ángel Pardos Blas" refreshedDate="46240.350445717595" createdVersion="3" refreshedVersion="8" minRefreshableVersion="3" recordCount="0" supportSubquery="1" supportAdvancedDrill="1" xr:uid="{C4E1B824-9C4B-4E81-ABE5-C22E0DD59D03}">
  <cacheSource type="external" connectionId="1">
    <extLst>
      <ext xmlns:x14="http://schemas.microsoft.com/office/spreadsheetml/2009/9/main" uri="{F057638F-6D5F-4e77-A914-E7F072B9BCA8}">
        <x14:sourceConnection name="ThisWorkbookDataModel"/>
      </ext>
    </extLst>
  </cacheSource>
  <cacheFields count="0"/>
  <cacheHierarchies count="49">
    <cacheHierarchy uniqueName="[TablaActividades].[IL]" caption="IL" attribute="1" defaultMemberUniqueName="[TablaActividades].[IL].[All]" allUniqueName="[TablaActividades].[IL].[All]" dimensionUniqueName="[TablaActividades]" displayFolder="" count="0" memberValueDatatype="130" unbalanced="0"/>
    <cacheHierarchy uniqueName="[TablaActividades].[PIL]" caption="PIL" attribute="1" defaultMemberUniqueName="[TablaActividades].[PIL].[All]" allUniqueName="[TablaActividades].[PIL].[All]" dimensionUniqueName="[TablaActividades]" displayFolder="" count="0" memberValueDatatype="20" unbalanced="0"/>
    <cacheHierarchy uniqueName="[TablaActividades].[DIL]" caption="DIL" attribute="1" defaultMemberUniqueName="[TablaActividades].[DIL].[All]" allUniqueName="[TablaActividades].[DIL].[All]" dimensionUniqueName="[TablaActividades]" displayFolder="" count="0" memberValueDatatype="130" unbalanced="0"/>
    <cacheHierarchy uniqueName="[TablaActividades].[DO]" caption="DO" attribute="1" defaultMemberUniqueName="[TablaActividades].[DO].[All]" allUniqueName="[TablaActividades].[DO].[All]" dimensionUniqueName="[TablaActividades]" displayFolder="" count="0" memberValueDatatype="130" unbalanced="0"/>
    <cacheHierarchy uniqueName="[TablaActividades].[CON]" caption="CON" attribute="1" defaultMemberUniqueName="[TablaActividades].[CON].[All]" allUniqueName="[TablaActividades].[CON].[All]" dimensionUniqueName="[TablaActividades]" displayFolder="" count="0" memberValueDatatype="130" unbalanced="0"/>
    <cacheHierarchy uniqueName="[TablaActividades].[CT]" caption="CT" attribute="1" defaultMemberUniqueName="[TablaActividades].[CT].[All]" allUniqueName="[TablaActividades].[CT].[All]" dimensionUniqueName="[TablaActividades]" displayFolder="" count="0" memberValueDatatype="20" unbalanced="0"/>
    <cacheHierarchy uniqueName="[TablaActividades].[IE]" caption="IE" attribute="1" defaultMemberUniqueName="[TablaActividades].[IE].[All]" allUniqueName="[TablaActividades].[IE].[All]" dimensionUniqueName="[TablaActividades]" displayFolder="" count="0" memberValueDatatype="130" unbalanced="0"/>
    <cacheHierarchy uniqueName="[TablaActividades].[CC]" caption="CC" attribute="1" defaultMemberUniqueName="[TablaActividades].[CC].[All]" allUniqueName="[TablaActividades].[CC].[All]" dimensionUniqueName="[TablaActividades]" displayFolder="" count="0" memberValueDatatype="130" unbalanced="0"/>
    <cacheHierarchy uniqueName="[TablaActividades].[AE]" caption="AE" attribute="1" defaultMemberUniqueName="[TablaActividades].[AE].[All]" allUniqueName="[TablaActividades].[AE].[All]" dimensionUniqueName="[TablaActividades]" displayFolder="" count="0" memberValueDatatype="130" unbalanced="0"/>
    <cacheHierarchy uniqueName="[TablaActividades].[SA]" caption="SA" attribute="1" defaultMemberUniqueName="[TablaActividades].[SA].[All]" allUniqueName="[TablaActividades].[SA].[All]" dimensionUniqueName="[TablaActividades]" displayFolder="" count="0" memberValueDatatype="20" unbalanced="0"/>
    <cacheHierarchy uniqueName="[TablaActividades].[A]" caption="A" attribute="1" defaultMemberUniqueName="[TablaActividades].[A].[All]" allUniqueName="[TablaActividades].[A].[All]" dimensionUniqueName="[TablaActividades]" displayFolder="" count="0" memberValueDatatype="130" unbalanced="0"/>
    <cacheHierarchy uniqueName="[TablaActividades].[DA]" caption="DA" attribute="1" defaultMemberUniqueName="[TablaActividades].[DA].[All]" allUniqueName="[TablaActividades].[DA].[All]" dimensionUniqueName="[TablaActividades]" displayFolder="" count="0" memberValueDatatype="130" unbalanced="0"/>
    <cacheHierarchy uniqueName="[TablaActividades].[PA]" caption="PA" attribute="1" defaultMemberUniqueName="[TablaActividades].[PA].[All]" allUniqueName="[TablaActividades].[PA].[All]" dimensionUniqueName="[TablaActividades]" displayFolder="" count="0" memberValueDatatype="20" unbalanced="0"/>
    <cacheHierarchy uniqueName="[TablaActividades].[PA%]" caption="PA%" attribute="1" defaultMemberUniqueName="[TablaActividades].[PA%].[All]" allUniqueName="[TablaActividades].[PA%].[All]" dimensionUniqueName="[TablaActividades]" displayFolder="" count="0" memberValueDatatype="5" unbalanced="0"/>
    <cacheHierarchy uniqueName="[TablaActividades].[FACTOR_IDOCEO]" caption="FACTOR_IDOCEO" attribute="1" defaultMemberUniqueName="[TablaActividades].[FACTOR_IDOCEO].[All]" allUniqueName="[TablaActividades].[FACTOR_IDOCEO].[All]" dimensionUniqueName="[TablaActividades]" displayFolder="" count="0" memberValueDatatype="5" unbalanced="0"/>
    <cacheHierarchy uniqueName="[TablaCriteriosEvaluacion].[CE]" caption="CE" attribute="1" defaultMemberUniqueName="[TablaCriteriosEvaluacion].[CE].[All]" allUniqueName="[TablaCriteriosEvaluacion].[CE].[All]" dimensionUniqueName="[TablaCriteriosEvaluacion]" displayFolder="" count="0" memberValueDatatype="130" unbalanced="0"/>
    <cacheHierarchy uniqueName="[TablaCriteriosEvaluacion].[CED]" caption="CED" attribute="1" defaultMemberUniqueName="[TablaCriteriosEvaluacion].[CED].[All]" allUniqueName="[TablaCriteriosEvaluacion].[CED].[All]" dimensionUniqueName="[TablaCriteriosEvaluacion]" displayFolder="" count="0" memberValueDatatype="130" unbalanced="0"/>
    <cacheHierarchy uniqueName="[TablaCriteriosEvaluacion].[P]" caption="P" attribute="1" defaultMemberUniqueName="[TablaCriteriosEvaluacion].[P].[All]" allUniqueName="[TablaCriteriosEvaluacion].[P].[All]" dimensionUniqueName="[TablaCriteriosEvaluacion]" displayFolder="" count="0" memberValueDatatype="20" unbalanced="0"/>
    <cacheHierarchy uniqueName="[TablaCriteriosEvaluacion].[P%]" caption="P%" attribute="1" defaultMemberUniqueName="[TablaCriteriosEvaluacion].[P%].[All]" allUniqueName="[TablaCriteriosEvaluacion].[P%].[All]" dimensionUniqueName="[TablaCriteriosEvaluacion]" displayFolder="" count="0" memberValueDatatype="5" unbalanced="0"/>
    <cacheHierarchy uniqueName="[TablaIndicadoresLogro].[CE]" caption="CE" attribute="1" defaultMemberUniqueName="[TablaIndicadoresLogro].[CE].[All]" allUniqueName="[TablaIndicadoresLogro].[CE].[All]" dimensionUniqueName="[TablaIndicadoresLogro]" displayFolder="" count="0" memberValueDatatype="130" unbalanced="0"/>
    <cacheHierarchy uniqueName="[TablaIndicadoresLogro].[CED]" caption="CED" attribute="1" defaultMemberUniqueName="[TablaIndicadoresLogro].[CED].[All]" allUniqueName="[TablaIndicadoresLogro].[CED].[All]" dimensionUniqueName="[TablaIndicadoresLogro]" displayFolder="" count="0" memberValueDatatype="130" unbalanced="0"/>
    <cacheHierarchy uniqueName="[TablaIndicadoresLogro].[IL]" caption="IL" attribute="1" defaultMemberUniqueName="[TablaIndicadoresLogro].[IL].[All]" allUniqueName="[TablaIndicadoresLogro].[IL].[All]" dimensionUniqueName="[TablaIndicadoresLogro]" displayFolder="" count="0" memberValueDatatype="130" unbalanced="0"/>
    <cacheHierarchy uniqueName="[TablaIndicadoresLogro].[PIL]" caption="PIL" attribute="1" defaultMemberUniqueName="[TablaIndicadoresLogro].[PIL].[All]" allUniqueName="[TablaIndicadoresLogro].[PIL].[All]" dimensionUniqueName="[TablaIndicadoresLogro]" displayFolder="" count="0" memberValueDatatype="20" unbalanced="0"/>
    <cacheHierarchy uniqueName="[TablaIndicadoresLogro].[PIL%]" caption="PIL%" attribute="1" defaultMemberUniqueName="[TablaIndicadoresLogro].[PIL%].[All]" allUniqueName="[TablaIndicadoresLogro].[PIL%].[All]" dimensionUniqueName="[TablaIndicadoresLogro]" displayFolder="" count="0" memberValueDatatype="20" unbalanced="0"/>
    <cacheHierarchy uniqueName="[TablaIndicadoresLogro].[DIL]" caption="DIL" attribute="1" defaultMemberUniqueName="[TablaIndicadoresLogro].[DIL].[All]" allUniqueName="[TablaIndicadoresLogro].[DIL].[All]" dimensionUniqueName="[TablaIndicadoresLogro]" displayFolder="" count="0" memberValueDatatype="130" unbalanced="0"/>
    <cacheHierarchy uniqueName="[TablaIndicadoresLogro].[DO]" caption="DO" attribute="1" defaultMemberUniqueName="[TablaIndicadoresLogro].[DO].[All]" allUniqueName="[TablaIndicadoresLogro].[DO].[All]" dimensionUniqueName="[TablaIndicadoresLogro]" displayFolder="" count="0" memberValueDatatype="130" unbalanced="0"/>
    <cacheHierarchy uniqueName="[TablaIndicadoresLogro].[CON]" caption="CON" attribute="1" defaultMemberUniqueName="[TablaIndicadoresLogro].[CON].[All]" allUniqueName="[TablaIndicadoresLogro].[CON].[All]" dimensionUniqueName="[TablaIndicadoresLogro]" displayFolder="" count="0" memberValueDatatype="130" unbalanced="0"/>
    <cacheHierarchy uniqueName="[TablaIndicadoresLogro].[CT]" caption="CT" attribute="1" defaultMemberUniqueName="[TablaIndicadoresLogro].[CT].[All]" allUniqueName="[TablaIndicadoresLogro].[CT].[All]" dimensionUniqueName="[TablaIndicadoresLogro]" displayFolder="" count="0" memberValueDatatype="130" unbalanced="0"/>
    <cacheHierarchy uniqueName="[TablaIndicadoresLogro].[IE]" caption="IE" attribute="1" defaultMemberUniqueName="[TablaIndicadoresLogro].[IE].[All]" allUniqueName="[TablaIndicadoresLogro].[IE].[All]" dimensionUniqueName="[TablaIndicadoresLogro]" displayFolder="" count="0" memberValueDatatype="130" unbalanced="0"/>
    <cacheHierarchy uniqueName="[TablaIndicadoresLogro].[CC]" caption="CC" attribute="1" defaultMemberUniqueName="[TablaIndicadoresLogro].[CC].[All]" allUniqueName="[TablaIndicadoresLogro].[CC].[All]" dimensionUniqueName="[TablaIndicadoresLogro]" displayFolder="" count="0" memberValueDatatype="130" unbalanced="0"/>
    <cacheHierarchy uniqueName="[TablaIndicadoresLogro].[AE]" caption="AE" attribute="1" defaultMemberUniqueName="[TablaIndicadoresLogro].[AE].[All]" allUniqueName="[TablaIndicadoresLogro].[AE].[All]" dimensionUniqueName="[TablaIndicadoresLogro]" displayFolder="" count="0" memberValueDatatype="130" unbalanced="0"/>
    <cacheHierarchy uniqueName="[TablaIndicadoresLogro].[SA]" caption="SA" attribute="1" defaultMemberUniqueName="[TablaIndicadoresLogro].[SA].[All]" allUniqueName="[TablaIndicadoresLogro].[SA].[All]" dimensionUniqueName="[TablaIndicadoresLogro]" displayFolder="" count="0" memberValueDatatype="20" unbalanced="0"/>
    <cacheHierarchy uniqueName="[tablaSAprendizaje].[SA]" caption="SA" attribute="1" defaultMemberUniqueName="[tablaSAprendizaje].[SA].[All]" allUniqueName="[tablaSAprendizaje].[SA].[All]" dimensionUniqueName="[tablaSAprendizaje]" displayFolder="" count="2" memberValueDatatype="20" unbalanced="0"/>
    <cacheHierarchy uniqueName="[tablaSAprendizaje].[DSA]" caption="DSA" attribute="1" defaultMemberUniqueName="[tablaSAprendizaje].[DSA].[All]" allUniqueName="[tablaSAprendizaje].[DSA].[All]" dimensionUniqueName="[tablaSAprendizaje]" displayFolder="" count="0" memberValueDatatype="130" unbalanced="0"/>
    <cacheHierarchy uniqueName="[tablaSAprendizaje].[HSA]" caption="HSA" attribute="1" defaultMemberUniqueName="[tablaSAprendizaje].[HSA].[All]" allUniqueName="[tablaSAprendizaje].[HSA].[All]" dimensionUniqueName="[tablaSAprendizaje]" displayFolder="" count="0" memberValueDatatype="20" unbalanced="0"/>
    <cacheHierarchy uniqueName="[tablaSAprendizaje].[Situación Aprendizaje]" caption="Situación Aprendizaje" attribute="1" defaultMemberUniqueName="[tablaSAprendizaje].[Situación Aprendizaje].[All]" allUniqueName="[tablaSAprendizaje].[Situación Aprendizaje].[All]" dimensionUniqueName="[tablaSAprendizaje]" displayFolder="" count="0" memberValueDatatype="130" unbalanced="0"/>
    <cacheHierarchy uniqueName="[Measures].[Suma de HSA]" caption="Suma de HSA" measure="1" displayFolder="" measureGroup="tablaSAprendizaje" count="0">
      <extLst>
        <ext xmlns:x15="http://schemas.microsoft.com/office/spreadsheetml/2010/11/main" uri="{B97F6D7D-B522-45F9-BDA1-12C45D357490}">
          <x15:cacheHierarchy aggregatedColumn="34"/>
        </ext>
      </extLst>
    </cacheHierarchy>
    <cacheHierarchy uniqueName="[Measures].[Recuento de DSA]" caption="Recuento de DSA" measure="1" displayFolder="" measureGroup="tablaSAprendizaje" count="0">
      <extLst>
        <ext xmlns:x15="http://schemas.microsoft.com/office/spreadsheetml/2010/11/main" uri="{B97F6D7D-B522-45F9-BDA1-12C45D357490}">
          <x15:cacheHierarchy aggregatedColumn="33"/>
        </ext>
      </extLst>
    </cacheHierarchy>
    <cacheHierarchy uniqueName="[Measures].[Suma de P]" caption="Suma de P" measure="1" displayFolder="" measureGroup="TablaCriteriosEvaluacion" count="0">
      <extLst>
        <ext xmlns:x15="http://schemas.microsoft.com/office/spreadsheetml/2010/11/main" uri="{B97F6D7D-B522-45F9-BDA1-12C45D357490}">
          <x15:cacheHierarchy aggregatedColumn="17"/>
        </ext>
      </extLst>
    </cacheHierarchy>
    <cacheHierarchy uniqueName="[Measures].[Suma de PIL]" caption="Suma de PIL" measure="1" displayFolder="" measureGroup="TablaIndicadoresLogro" count="0">
      <extLst>
        <ext xmlns:x15="http://schemas.microsoft.com/office/spreadsheetml/2010/11/main" uri="{B97F6D7D-B522-45F9-BDA1-12C45D357490}">
          <x15:cacheHierarchy aggregatedColumn="22"/>
        </ext>
      </extLst>
    </cacheHierarchy>
    <cacheHierarchy uniqueName="[Measures].[Peso_Agrupado_SA_CE]" caption="Peso_Agrupado_SA_CE" measure="1" displayFolder="" measureGroup="tablaSAprendizaje" count="0"/>
    <cacheHierarchy uniqueName="[Measures].[Valor_porcentaje_horas]" caption="Valor_porcentaje_horas" measure="1" displayFolder="" measureGroup="tablaSAprendizaje" count="0"/>
    <cacheHierarchy uniqueName="[Measures].[Valor_actividad]" caption="Valor_actividad" measure="1" displayFolder="" measureGroup="tablaSAprendizaje" count="0"/>
    <cacheHierarchy uniqueName="[Measures].[Medida_porcentajes_IE]" caption="Medida_porcentajes_IE" measure="1" displayFolder="" measureGroup="tablaSAprendizaje" count="0"/>
    <cacheHierarchy uniqueName="[Measures].[__XL_Count tablaSAprendizaje]" caption="__XL_Count tablaSAprendizaje" measure="1" displayFolder="" measureGroup="tablaSAprendizaje" count="0" hidden="1"/>
    <cacheHierarchy uniqueName="[Measures].[__XL_Count TablaCriteriosEvaluacion]" caption="__XL_Count TablaCriteriosEvaluacion" measure="1" displayFolder="" measureGroup="TablaCriteriosEvaluacion" count="0" hidden="1"/>
    <cacheHierarchy uniqueName="[Measures].[__XL_Count TablaActividades]" caption="__XL_Count TablaActividades" measure="1" displayFolder="" measureGroup="TablaActividades" count="0" hidden="1"/>
    <cacheHierarchy uniqueName="[Measures].[__XL_Count TablaIndicadoresLogro]" caption="__XL_Count TablaIndicadoresLogro" measure="1" displayFolder="" measureGroup="TablaIndicadoresLogro" count="0" hidden="1"/>
    <cacheHierarchy uniqueName="[Measures].[__No hay medidas definidas]" caption="__No hay medidas definidas" measure="1" displayFolder="" count="0" hidden="1"/>
  </cacheHierarchies>
  <kpis count="0"/>
  <extLst>
    <ext xmlns:x14="http://schemas.microsoft.com/office/spreadsheetml/2009/9/main" uri="{725AE2AE-9491-48be-B2B4-4EB974FC3084}">
      <x14:pivotCacheDefinition slicerData="1" pivotCacheId="15435239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723AF5-13D3-4151-9BCF-547B14EA3913}" name="TablaDinámica4" cacheId="37" applyNumberFormats="0" applyBorderFormats="0" applyFontFormats="0" applyPatternFormats="0" applyAlignmentFormats="0" applyWidthHeightFormats="1" dataCaption="Valores" tag="0772555c-8cc9-43f0-bf66-f79fbefcbebb" updatedVersion="8" minRefreshableVersion="3" useAutoFormatting="1" subtotalHiddenItems="1" itemPrintTitles="1" createdVersion="8" indent="0" outline="1" outlineData="1" multipleFieldFilters="0" chartFormat="2">
  <location ref="B73:C76"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fld="0" subtotal="count" baseField="0" baseItem="0" numFmtId="1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SAprendizaje]"/>
        <x15:activeTabTopLevelEntity name="[TablaIndicadoresLogr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BEE249-E7BD-420F-B65A-27725D8821E2}" name="TablaDinámica6" cacheId="28" applyNumberFormats="0" applyBorderFormats="0" applyFontFormats="0" applyPatternFormats="0" applyAlignmentFormats="0" applyWidthHeightFormats="1" dataCaption="Valores" tag="33862be1-f601-421f-980b-c996d82f6889" updatedVersion="8" minRefreshableVersion="3" useAutoFormatting="1" subtotalHiddenItems="1" itemPrintTitles="1" createdVersion="8" indent="0" compact="0" compactData="0" multipleFieldFilters="0">
  <location ref="B95:E97" firstHeaderRow="0" firstDataRow="1" firstDataCol="2"/>
  <pivotFields count="5">
    <pivotField axis="axisRow" compact="0" allDrilled="1" outline="0" subtotalTop="0" showAll="0" dataSourceSort="1" defaultSubtotal="0" defaultAttributeDrillState="1">
      <items count="1">
        <item x="0"/>
      </items>
    </pivotField>
    <pivotField axis="axisRow" compact="0" allDrilled="1" outline="0" subtotalTop="0" showAll="0" dataSourceSort="1" defaultSubtotal="0" defaultAttributeDrillState="1">
      <items count="1">
        <item x="0"/>
      </items>
    </pivotField>
    <pivotField compact="0" allDrilled="1" outline="0" subtotalTop="0" showAll="0" dataSourceSort="1" defaultSubtotal="0" defaultAttributeDrillState="1"/>
    <pivotField dataField="1" compact="0" outline="0"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1"/>
  </rowFields>
  <rowItems count="2">
    <i>
      <x/>
      <x/>
    </i>
    <i t="grand">
      <x/>
    </i>
  </rowItems>
  <colFields count="1">
    <field x="-2"/>
  </colFields>
  <colItems count="2">
    <i>
      <x/>
    </i>
    <i i="1">
      <x v="1"/>
    </i>
  </colItems>
  <dataFields count="2">
    <dataField name="Valor_actividad_sobre_programación" fld="3" subtotal="count" baseField="1" baseItem="0"/>
    <dataField name="Valor_actividad_sobre_SA" fld="4" subtotal="count" showDataAs="percentOfTotal" baseField="1" baseItem="0" numFmtId="10">
      <extLst>
        <ext xmlns:x14="http://schemas.microsoft.com/office/spreadsheetml/2009/9/main" uri="{E15A36E0-9728-4e99-A89B-3F7291B0FE68}">
          <x14:dataField sourceField="3" uniqueName="[__Xl2].[Measures].[Valor_actividad]"/>
        </ext>
      </extLst>
    </dataField>
  </dataFields>
  <formats count="2">
    <format dxfId="22">
      <pivotArea outline="0" collapsedLevelsAreSubtotals="1" fieldPosition="0"/>
    </format>
    <format dxfId="21">
      <pivotArea outline="0" fieldPosition="0">
        <references count="1">
          <reference field="4294967294" count="1">
            <x v="1"/>
          </reference>
        </references>
      </pivotArea>
    </format>
  </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aSAprendizaje].[SA].&amp;[6]"/>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Valor_actividad_sobre_SA"/>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0"/>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Actividades]"/>
        <x15:activeTabTopLevelEntity name="[tablaSAprendizaje]"/>
        <x15:activeTabTopLevelEntity name="[TablaIndicadoresLogr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BB771E-7EE9-4975-BC29-6B48127B14FD}" name="TablaDinámica3" cacheId="24" applyNumberFormats="0" applyBorderFormats="0" applyFontFormats="0" applyPatternFormats="0" applyAlignmentFormats="0" applyWidthHeightFormats="1" dataCaption="Valores" tag="e7be45c5-c238-4e60-853d-ad5a8a936dcf" updatedVersion="8" minRefreshableVersion="3" useAutoFormatting="1" subtotalHiddenItems="1" itemPrintTitles="1" createdVersion="5" indent="0" outline="1" outlineData="1" multipleFieldFilters="0" rowHeaderCaption="Criterios de evaluación">
  <location ref="B5:D30" firstHeaderRow="0"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Pesos" fld="1" baseField="0" baseItem="0">
      <extLst>
        <ext xmlns:x14="http://schemas.microsoft.com/office/spreadsheetml/2009/9/main" uri="{E15A36E0-9728-4e99-A89B-3F7291B0FE68}">
          <x14:dataField sourceField="1" uniqueName="[__Xl2].[Measures].[Suma de P]"/>
        </ext>
      </extLst>
    </dataField>
    <dataField name="% Peso" fld="2" showDataAs="percentOfTotal" baseField="0" baseItem="0" numFmtId="10">
      <extLst>
        <ext xmlns:x14="http://schemas.microsoft.com/office/spreadsheetml/2009/9/main" uri="{E15A36E0-9728-4e99-A89B-3F7291B0FE68}">
          <x14:dataField sourceField="1"/>
        </ext>
      </extLst>
    </dataField>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Peso"/>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CriteriosEvaluac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B646B1-F83C-4821-90D5-4AC67C7663DB}" name="TablaDinámica2" cacheId="31" applyNumberFormats="0" applyBorderFormats="0" applyFontFormats="0" applyPatternFormats="0" applyAlignmentFormats="0" applyWidthHeightFormats="1" dataCaption="Valores" tag="b51499e0-b680-4b43-8966-dbb4ffa44d85" updatedVersion="8" minRefreshableVersion="3" visualTotals="0" subtotalHiddenItems="1" itemPrintTitles="1" createdVersion="5" indent="0" compact="0" compactData="0" multipleFieldFilters="0" rowHeaderCaption="Situaciones de aprendizaje" colHeaderCaption="Criterios de evaluación">
  <location ref="B54" firstHeaderRow="0" firstDataRow="0" firstDataCol="0"/>
  <pivotFields count="3">
    <pivotField axis="axisCol" compact="0" allDrilled="1" outline="0"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axis="axisRow" compact="0" allDrilled="1" outline="0" showAll="0" dataSourceSort="1" defaultAttributeDrillState="1">
      <items count="16">
        <item x="0"/>
        <item x="1"/>
        <item x="2"/>
        <item x="3"/>
        <item x="4"/>
        <item x="5"/>
        <item x="6"/>
        <item x="7"/>
        <item x="8"/>
        <item x="9"/>
        <item x="10"/>
        <item x="11"/>
        <item x="12"/>
        <item x="13"/>
        <item x="14"/>
        <item t="default"/>
      </items>
    </pivotField>
    <pivotField dataField="1" compact="0" outline="0" subtotalTop="0" showAll="0" defaultSubtotal="0"/>
  </pivotFields>
  <rowFields count="1">
    <field x="1"/>
  </rowFields>
  <rowItems count="16">
    <i>
      <x/>
    </i>
    <i>
      <x v="1"/>
    </i>
    <i>
      <x v="2"/>
    </i>
    <i>
      <x v="3"/>
    </i>
    <i>
      <x v="4"/>
    </i>
    <i>
      <x v="5"/>
    </i>
    <i>
      <x v="6"/>
    </i>
    <i>
      <x v="7"/>
    </i>
    <i>
      <x v="8"/>
    </i>
    <i>
      <x v="9"/>
    </i>
    <i>
      <x v="10"/>
    </i>
    <i>
      <x v="11"/>
    </i>
    <i>
      <x v="12"/>
    </i>
    <i>
      <x v="13"/>
    </i>
    <i>
      <x v="14"/>
    </i>
    <i t="grand">
      <x/>
    </i>
  </rowItems>
  <colFields count="1">
    <field x="0"/>
  </colFields>
  <colItems count="25">
    <i>
      <x/>
    </i>
    <i>
      <x v="1"/>
    </i>
    <i>
      <x v="2"/>
    </i>
    <i>
      <x v="3"/>
    </i>
    <i>
      <x v="4"/>
    </i>
    <i>
      <x v="5"/>
    </i>
    <i>
      <x v="6"/>
    </i>
    <i>
      <x v="7"/>
    </i>
    <i>
      <x v="8"/>
    </i>
    <i>
      <x v="9"/>
    </i>
    <i>
      <x v="10"/>
    </i>
    <i>
      <x v="11"/>
    </i>
    <i>
      <x v="12"/>
    </i>
    <i>
      <x v="13"/>
    </i>
    <i>
      <x v="14"/>
    </i>
    <i>
      <x v="15"/>
    </i>
    <i>
      <x v="16"/>
    </i>
    <i>
      <x v="17"/>
    </i>
    <i>
      <x v="18"/>
    </i>
    <i>
      <x v="19"/>
    </i>
    <i>
      <x v="20"/>
    </i>
    <i>
      <x v="21"/>
    </i>
    <i>
      <x v="22"/>
    </i>
    <i>
      <x v="23"/>
    </i>
    <i t="grand">
      <x/>
    </i>
  </colItems>
  <dataFields count="1">
    <dataField fld="2" subtotal="count" baseField="0" baseItem="0" numFmtId="10"/>
  </dataFields>
  <formats count="3">
    <format dxfId="25">
      <pivotArea collapsedLevelsAreSubtotals="1" fieldPosition="0">
        <references count="2">
          <reference field="0" count="1" selected="0">
            <x v="7"/>
          </reference>
          <reference field="1" count="1">
            <x v="3"/>
          </reference>
        </references>
      </pivotArea>
    </format>
    <format dxfId="24">
      <pivotArea outline="0" collapsedLevelsAreSubtotals="1" fieldPosition="0"/>
    </format>
    <format dxfId="23">
      <pivotArea outline="0" fieldPosition="0">
        <references count="1">
          <reference field="4294967294" count="1">
            <x v="0"/>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3" showRowHeaders="1" showColHeaders="1" showRowStripes="0" showColStripes="0" showLastColumn="1"/>
  <rowHierarchiesUsage count="1">
    <rowHierarchyUsage hierarchyUsage="32"/>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SAprendizaje]"/>
        <x15:activeTabTopLevelEntity name="[TablaCriteriosEvaluacion]"/>
        <x15:activeTabTopLevelEntity name="[TablaIndicadoresLogro]"/>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CD22CF-8E88-49DD-BB05-9906B43F2E23}" name="TablaDinámica1" cacheId="34" applyNumberFormats="0" applyBorderFormats="0" applyFontFormats="0" applyPatternFormats="0" applyAlignmentFormats="0" applyWidthHeightFormats="1" dataCaption="Valores" tag="294fa884-a028-47e9-9524-5d8396cf0f21" updatedVersion="8" minRefreshableVersion="3" useAutoFormatting="1" subtotalHiddenItems="1" itemPrintTitles="1" createdVersion="5" indent="0" outline="1" outlineData="1" multipleFieldFilters="0" chartFormat="2">
  <location ref="B34:C50" firstHeaderRow="1" firstDataRow="1" firstDataCol="1"/>
  <pivotFields count="2">
    <pivotField dataField="1" subtotalTop="0" showAll="0" defaultSubtotal="0"/>
    <pivotField axis="axisRow" allDrilled="1" subtotalTop="0" showAll="0" defaultSubtotal="0" defaultAttributeDrillState="1">
      <items count="15">
        <item x="0"/>
        <item x="1"/>
        <item x="2"/>
        <item x="3"/>
        <item x="4"/>
        <item x="5"/>
        <item x="6"/>
        <item x="7"/>
        <item x="8"/>
        <item x="9"/>
        <item x="10"/>
        <item x="11"/>
        <item x="12"/>
        <item x="13"/>
        <item x="14"/>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Porcentaje Horas" fld="0" showDataAs="percentOfCol" baseField="0" baseItem="0" numFmtId="1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048832"/>
          </reference>
        </references>
      </pivotArea>
    </chartFormat>
    <chartFormat chart="0" format="2">
      <pivotArea type="data" outline="0" fieldPosition="0">
        <references count="2">
          <reference field="4294967294" count="1" selected="0">
            <x v="0"/>
          </reference>
          <reference field="1" count="1" selected="0">
            <x v="1048832"/>
          </reference>
        </references>
      </pivotArea>
    </chartFormat>
    <chartFormat chart="0" format="3">
      <pivotArea type="data" outline="0" fieldPosition="0">
        <references count="2">
          <reference field="4294967294" count="1" selected="0">
            <x v="0"/>
          </reference>
          <reference field="1" count="1" selected="0">
            <x v="1048832"/>
          </reference>
        </references>
      </pivotArea>
    </chartFormat>
    <chartFormat chart="0" format="4">
      <pivotArea type="data" outline="0" fieldPosition="0">
        <references count="2">
          <reference field="4294967294" count="1" selected="0">
            <x v="0"/>
          </reference>
          <reference field="1" count="1" selected="0">
            <x v="1048832"/>
          </reference>
        </references>
      </pivotArea>
    </chartFormat>
    <chartFormat chart="0" format="5">
      <pivotArea type="data" outline="0" fieldPosition="0">
        <references count="2">
          <reference field="4294967294" count="1" selected="0">
            <x v="0"/>
          </reference>
          <reference field="1" count="1" selected="0">
            <x v="1048832"/>
          </reference>
        </references>
      </pivotArea>
    </chartFormat>
    <chartFormat chart="0" format="6">
      <pivotArea type="data" outline="0" fieldPosition="0">
        <references count="2">
          <reference field="4294967294" count="1" selected="0">
            <x v="0"/>
          </reference>
          <reference field="1" count="1" selected="0">
            <x v="1048832"/>
          </reference>
        </references>
      </pivotArea>
    </chartFormat>
    <chartFormat chart="0" format="7">
      <pivotArea type="data" outline="0" fieldPosition="0">
        <references count="2">
          <reference field="4294967294" count="1" selected="0">
            <x v="0"/>
          </reference>
          <reference field="1" count="1" selected="0">
            <x v="1048832"/>
          </reference>
        </references>
      </pivotArea>
    </chartFormat>
    <chartFormat chart="0" format="8">
      <pivotArea type="data" outline="0" fieldPosition="0">
        <references count="2">
          <reference field="4294967294" count="1" selected="0">
            <x v="0"/>
          </reference>
          <reference field="1" count="1" selected="0">
            <x v="1048832"/>
          </reference>
        </references>
      </pivotArea>
    </chartFormat>
    <chartFormat chart="0" format="9">
      <pivotArea type="data" outline="0" fieldPosition="0">
        <references count="2">
          <reference field="4294967294" count="1" selected="0">
            <x v="0"/>
          </reference>
          <reference field="1" count="1" selected="0">
            <x v="1048832"/>
          </reference>
        </references>
      </pivotArea>
    </chartFormat>
    <chartFormat chart="0" format="10">
      <pivotArea type="data" outline="0" fieldPosition="0">
        <references count="2">
          <reference field="4294967294" count="1" selected="0">
            <x v="0"/>
          </reference>
          <reference field="1" count="1" selected="0">
            <x v="1048832"/>
          </reference>
        </references>
      </pivotArea>
    </chartFormat>
    <chartFormat chart="0" format="11">
      <pivotArea type="data" outline="0" fieldPosition="0">
        <references count="2">
          <reference field="4294967294" count="1" selected="0">
            <x v="0"/>
          </reference>
          <reference field="1" count="1" selected="0">
            <x v="1048832"/>
          </reference>
        </references>
      </pivotArea>
    </chartFormat>
    <chartFormat chart="0" format="12">
      <pivotArea type="data" outline="0" fieldPosition="0">
        <references count="2">
          <reference field="4294967294" count="1" selected="0">
            <x v="0"/>
          </reference>
          <reference field="1" count="1" selected="0">
            <x v="1048832"/>
          </reference>
        </references>
      </pivotArea>
    </chartFormat>
    <chartFormat chart="0" format="13">
      <pivotArea type="data" outline="0" fieldPosition="0">
        <references count="2">
          <reference field="4294967294" count="1" selected="0">
            <x v="0"/>
          </reference>
          <reference field="1" count="1" selected="0">
            <x v="0"/>
          </reference>
        </references>
      </pivotArea>
    </chartFormat>
    <chartFormat chart="0" format="14">
      <pivotArea type="data" outline="0" fieldPosition="0">
        <references count="2">
          <reference field="4294967294" count="1" selected="0">
            <x v="0"/>
          </reference>
          <reference field="1" count="1" selected="0">
            <x v="1"/>
          </reference>
        </references>
      </pivotArea>
    </chartFormat>
    <chartFormat chart="0" format="15">
      <pivotArea type="data" outline="0" fieldPosition="0">
        <references count="2">
          <reference field="4294967294" count="1" selected="0">
            <x v="0"/>
          </reference>
          <reference field="1" count="1" selected="0">
            <x v="2"/>
          </reference>
        </references>
      </pivotArea>
    </chartFormat>
    <chartFormat chart="0" format="16">
      <pivotArea type="data" outline="0" fieldPosition="0">
        <references count="2">
          <reference field="4294967294" count="1" selected="0">
            <x v="0"/>
          </reference>
          <reference field="1" count="1" selected="0">
            <x v="3"/>
          </reference>
        </references>
      </pivotArea>
    </chartFormat>
    <chartFormat chart="0" format="17">
      <pivotArea type="data" outline="0" fieldPosition="0">
        <references count="2">
          <reference field="4294967294" count="1" selected="0">
            <x v="0"/>
          </reference>
          <reference field="1" count="1" selected="0">
            <x v="4"/>
          </reference>
        </references>
      </pivotArea>
    </chartFormat>
    <chartFormat chart="0" format="18">
      <pivotArea type="data" outline="0" fieldPosition="0">
        <references count="2">
          <reference field="4294967294" count="1" selected="0">
            <x v="0"/>
          </reference>
          <reference field="1" count="1" selected="0">
            <x v="5"/>
          </reference>
        </references>
      </pivotArea>
    </chartFormat>
    <chartFormat chart="0" format="19">
      <pivotArea type="data" outline="0" fieldPosition="0">
        <references count="2">
          <reference field="4294967294" count="1" selected="0">
            <x v="0"/>
          </reference>
          <reference field="1" count="1" selected="0">
            <x v="6"/>
          </reference>
        </references>
      </pivotArea>
    </chartFormat>
    <chartFormat chart="0" format="20">
      <pivotArea type="data" outline="0" fieldPosition="0">
        <references count="2">
          <reference field="4294967294" count="1" selected="0">
            <x v="0"/>
          </reference>
          <reference field="1" count="1" selected="0">
            <x v="7"/>
          </reference>
        </references>
      </pivotArea>
    </chartFormat>
    <chartFormat chart="0" format="21">
      <pivotArea type="data" outline="0" fieldPosition="0">
        <references count="2">
          <reference field="4294967294" count="1" selected="0">
            <x v="0"/>
          </reference>
          <reference field="1" count="1" selected="0">
            <x v="8"/>
          </reference>
        </references>
      </pivotArea>
    </chartFormat>
    <chartFormat chart="0" format="22">
      <pivotArea type="data" outline="0" fieldPosition="0">
        <references count="2">
          <reference field="4294967294" count="1" selected="0">
            <x v="0"/>
          </reference>
          <reference field="1" count="1" selected="0">
            <x v="9"/>
          </reference>
        </references>
      </pivotArea>
    </chartFormat>
    <chartFormat chart="0" format="23">
      <pivotArea type="data" outline="0" fieldPosition="0">
        <references count="2">
          <reference field="4294967294" count="1" selected="0">
            <x v="0"/>
          </reference>
          <reference field="1" count="1" selected="0">
            <x v="10"/>
          </reference>
        </references>
      </pivotArea>
    </chartFormat>
    <chartFormat chart="0" format="24">
      <pivotArea type="data" outline="0" fieldPosition="0">
        <references count="2">
          <reference field="4294967294" count="1" selected="0">
            <x v="0"/>
          </reference>
          <reference field="1" count="1" selected="0">
            <x v="11"/>
          </reference>
        </references>
      </pivotArea>
    </chartFormat>
    <chartFormat chart="0" format="25">
      <pivotArea type="data" outline="0" fieldPosition="0">
        <references count="2">
          <reference field="4294967294" count="1" selected="0">
            <x v="0"/>
          </reference>
          <reference field="1" count="1" selected="0">
            <x v="12"/>
          </reference>
        </references>
      </pivotArea>
    </chartFormat>
    <chartFormat chart="0" format="26">
      <pivotArea type="data" outline="0" fieldPosition="0">
        <references count="2">
          <reference field="4294967294" count="1" selected="0">
            <x v="0"/>
          </reference>
          <reference field="1" count="1" selected="0">
            <x v="13"/>
          </reference>
        </references>
      </pivotArea>
    </chartFormat>
    <chartFormat chart="0" format="27">
      <pivotArea type="data" outline="0" fieldPosition="0">
        <references count="2">
          <reference field="4294967294" count="1" selected="0">
            <x v="0"/>
          </reference>
          <reference field="1" count="1" selected="0">
            <x v="14"/>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orcentaje Hora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aSAprendizaje]"/>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25</v>
    <v>8</v>
    <v>17</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SA" xr10:uid="{348D4B84-C8D9-449D-912D-66A528AC6A87}" sourceName="[tablaSAprendizaje].[SA]">
  <pivotTables>
    <pivotTable tabId="12" name="TablaDinámica6"/>
  </pivotTables>
  <data>
    <olap pivotCacheId="1543523974">
      <levels count="2">
        <level uniqueName="[tablaSAprendizaje].[SA].[(All)]" sourceCaption="(All)" count="0"/>
        <level uniqueName="[tablaSAprendizaje].[SA].[SA]" sourceCaption="SA" count="15">
          <ranges>
            <range startItem="0">
              <i n="[tablaSAprendizaje].[SA].&amp;[1]" c="1"/>
              <i n="[tablaSAprendizaje].[SA].&amp;[2]" c="2"/>
              <i n="[tablaSAprendizaje].[SA].&amp;[3]" c="3"/>
              <i n="[tablaSAprendizaje].[SA].&amp;[4]" c="4"/>
              <i n="[tablaSAprendizaje].[SA].&amp;[5]" c="5"/>
              <i n="[tablaSAprendizaje].[SA].&amp;[6]" c="6"/>
              <i n="[tablaSAprendizaje].[SA].&amp;[7]" c="7"/>
              <i n="[tablaSAprendizaje].[SA].&amp;[8]" c="8"/>
              <i n="[tablaSAprendizaje].[SA].&amp;[9]" c="9"/>
              <i n="[tablaSAprendizaje].[SA].&amp;[10]" c="10"/>
              <i n="[tablaSAprendizaje].[SA].&amp;[11]" c="11"/>
              <i n="[tablaSAprendizaje].[SA].&amp;[12]" c="12"/>
              <i n="[tablaSAprendizaje].[SA].&amp;[13]" c="13"/>
              <i n="[tablaSAprendizaje].[SA].&amp;[14]" c="14"/>
              <i n="[tablaSAprendizaje].[SA].&amp;[15]" c="15"/>
            </range>
          </ranges>
        </level>
      </levels>
      <selections count="1">
        <selection n="[tablaSAprendizaje].[SA].&amp;[6]"/>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 xr10:uid="{53D5CF66-A6CB-4715-A45E-A82860B3701B}" cache="SegmentaciónDeDatos_SA" caption="SA"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CBC0CCD-39CC-40C6-9671-57E0A0C874B2}" name="tablaSAprendizaje" displayName="tablaSAprendizaje" ref="A1:C16" totalsRowShown="0">
  <autoFilter ref="A1:C16" xr:uid="{FCBC0CCD-39CC-40C6-9671-57E0A0C874B2}"/>
  <tableColumns count="3">
    <tableColumn id="1" xr3:uid="{0CC9C4AD-31BA-4BB9-BCB2-144581049C80}" name="SA"/>
    <tableColumn id="2" xr3:uid="{8585E4FC-A80B-4EB2-8D75-D87DEDA5B65C}" name="DSA"/>
    <tableColumn id="3" xr3:uid="{F573149F-5C28-495C-AB67-C265675993C5}" name="HS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290044-476B-4A75-9132-EC2FF70A6FB2}" name="TablaCriteriosEvaluacion" displayName="TablaCriteriosEvaluacion" ref="A4:D28" totalsRowShown="0">
  <autoFilter ref="A4:D28" xr:uid="{74290044-476B-4A75-9132-EC2FF70A6FB2}"/>
  <tableColumns count="4">
    <tableColumn id="1" xr3:uid="{0EF3AD03-B19F-4F4C-B090-2864E52CD41D}" name="CE"/>
    <tableColumn id="2" xr3:uid="{F0249FD0-188A-440A-9ED1-469FD97BEB66}" name="CED"/>
    <tableColumn id="3" xr3:uid="{52463F60-A26B-4B5A-97F3-BE848D71E314}" name="P"/>
    <tableColumn id="4" xr3:uid="{D32965D8-EE8B-4EC5-B37F-7411417F7DF5}" name="P%" dataDxfId="20">
      <calculatedColumnFormula>TablaCriteriosEvaluacion[[#This Row],[P]]/SUM(TablaCriteriosEvaluacion[P])</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4BDDA0-92AC-4F98-A972-7973FD37E47D}" name="TablaIndicadoresLogro" displayName="TablaIndicadoresLogro" ref="A4:M28" totalsRowShown="0">
  <autoFilter ref="A4:M28" xr:uid="{714BDDA0-92AC-4F98-A972-7973FD37E47D}"/>
  <tableColumns count="13">
    <tableColumn id="1" xr3:uid="{628E6984-F870-4E57-98DA-3D880360898A}" name="CE"/>
    <tableColumn id="2" xr3:uid="{906234CB-28E7-4BB7-AC49-B9E990A61E99}" name="CED" dataDxfId="19"/>
    <tableColumn id="7" xr3:uid="{1064E5B1-7EAD-4164-AD2B-C4993A457D89}" name="IL" dataDxfId="18"/>
    <tableColumn id="6" xr3:uid="{707B963F-5B08-4C04-8A26-C2B509C82FCE}" name="PIL"/>
    <tableColumn id="3" xr3:uid="{CCC8820D-D14C-44EF-9ED2-74B3D3BE3AAB}" name="PIL%" dataDxfId="17">
      <calculatedColumnFormula>TablaIndicadoresLogro[[#This Row],[PIL]]/SUMIF(TablaIndicadoresLogro[CE], TablaIndicadoresLogro[[#This Row],[CE]], TablaIndicadoresLogro[PIL])</calculatedColumnFormula>
    </tableColumn>
    <tableColumn id="8" xr3:uid="{2A11E732-F6E5-4E7D-9A62-A0CDBF68D2FA}" name="DIL" dataDxfId="16"/>
    <tableColumn id="9" xr3:uid="{9C5C0419-B0C1-4E0E-A296-98DE8F7E72CB}" name="DO" dataDxfId="15"/>
    <tableColumn id="10" xr3:uid="{D0C0088D-2D92-443F-9B13-02E00E448594}" name="CON"/>
    <tableColumn id="11" xr3:uid="{D5553107-E108-41E4-AF27-00E5B33F36FB}" name="CT" dataDxfId="14"/>
    <tableColumn id="12" xr3:uid="{DA4F116B-3390-4A3A-9C5B-82A157C2140F}" name="IE"/>
    <tableColumn id="13" xr3:uid="{80FBF26C-662A-4A76-B2BF-5F51D57F22DB}" name="CC"/>
    <tableColumn id="14" xr3:uid="{EDEDC24D-F5AB-48DD-9B04-2FD30BC908DD}" name="AE"/>
    <tableColumn id="15" xr3:uid="{B5C17CB2-8F0C-4876-BC05-7E3231A5DE2A}" name="S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603D095-6425-43E6-91E5-45E8B4AC1EA2}" name="TablaActividades" displayName="TablaActividades" ref="A1:O19" totalsRowShown="0" headerRowDxfId="42" dataDxfId="41">
  <autoFilter ref="A1:O19" xr:uid="{D603D095-6425-43E6-91E5-45E8B4AC1EA2}"/>
  <tableColumns count="15">
    <tableColumn id="1" xr3:uid="{FA4D7F7D-4E4B-4361-A301-6DC0ED4CE6D1}" name="IL" dataDxfId="40"/>
    <tableColumn id="13" xr3:uid="{9E74E277-1427-4D6D-8620-D9A74B976CEE}" name="PIL" dataDxfId="39">
      <calculatedColumnFormula>VLOOKUP(TablaActividades[[#This Row],[IL]],TablaIndicadoresLogro[[#Data],[IL]:[SA]],2,1)</calculatedColumnFormula>
    </tableColumn>
    <tableColumn id="5" xr3:uid="{D9CBE9A9-764E-4F71-AE32-FEC6DF0AE800}" name="DIL" dataDxfId="38">
      <calculatedColumnFormula>VLOOKUP(TablaActividades[[#This Row],[IL]],TablaIndicadoresLogro[[#Data],[IL]:[SA]],4,1)</calculatedColumnFormula>
    </tableColumn>
    <tableColumn id="11" xr3:uid="{19887375-8EFC-4483-8AB2-E667E30982D2}" name="DO" dataDxfId="37">
      <calculatedColumnFormula>VLOOKUP(TablaActividades[[#This Row],[IL]],TablaIndicadoresLogro[[#Data],[IL]:[SA]],5,1)</calculatedColumnFormula>
    </tableColumn>
    <tableColumn id="10" xr3:uid="{E87063C0-90B7-4DA7-B397-69484171C58F}" name="CON" dataDxfId="36">
      <calculatedColumnFormula>VLOOKUP(TablaActividades[[#This Row],[IL]],TablaIndicadoresLogro[[#Data],[IL]:[SA]],6,1)</calculatedColumnFormula>
    </tableColumn>
    <tableColumn id="9" xr3:uid="{B454CD5E-9ACD-4231-8AC3-ADD12F24C887}" name="CT" dataDxfId="35">
      <calculatedColumnFormula>VLOOKUP(TablaActividades[[#This Row],[IL]],TablaIndicadoresLogro[[#Data],[IL]:[SA]],7,1)</calculatedColumnFormula>
    </tableColumn>
    <tableColumn id="8" xr3:uid="{83396C2B-3D02-4BB0-BDEC-D7F25FEC72D2}" name="IE" dataDxfId="34">
      <calculatedColumnFormula>VLOOKUP(TablaActividades[[#This Row],[IL]],TablaIndicadoresLogro[[#Data],[IL]:[SA]],8,1)</calculatedColumnFormula>
    </tableColumn>
    <tableColumn id="7" xr3:uid="{C37882D3-D181-4F73-94F1-524BD04EE376}" name="CC" dataDxfId="33">
      <calculatedColumnFormula>VLOOKUP(TablaActividades[[#This Row],[IL]],TablaIndicadoresLogro[[#Data],[IL]:[SA]],9,1)</calculatedColumnFormula>
    </tableColumn>
    <tableColumn id="6" xr3:uid="{C9F87FA0-F431-49A0-A670-A74DA804224C}" name="AE" dataDxfId="32">
      <calculatedColumnFormula>VLOOKUP(TablaActividades[[#This Row],[IL]],TablaIndicadoresLogro[[#Data],[IL]:[SA]],10,1)</calculatedColumnFormula>
    </tableColumn>
    <tableColumn id="14" xr3:uid="{008CBB47-457B-45BF-A50D-324CCB864206}" name="SA" dataDxfId="31">
      <calculatedColumnFormula>VLOOKUP(TablaActividades[[#This Row],[IL]],TablaIndicadoresLogro[[#Data],[IL]:[SA]],11,1)</calculatedColumnFormula>
    </tableColumn>
    <tableColumn id="2" xr3:uid="{491609B3-BD5F-49B7-A8AE-EE8EDECAB872}" name="A" dataDxfId="30"/>
    <tableColumn id="3" xr3:uid="{F25D5D90-D2E0-459D-A91A-DC892BA816F4}" name="DA" dataDxfId="29"/>
    <tableColumn id="4" xr3:uid="{EA999CEF-7D07-4076-8081-33CF0C95DEC0}" name="PA" dataDxfId="28"/>
    <tableColumn id="12" xr3:uid="{91EAB63D-A12F-4967-8B5D-451BCD022C1F}" name="PA%" dataDxfId="27">
      <calculatedColumnFormula>TablaActividades[[#This Row],[PA]]/SUMIF(TablaActividades[IL], TablaActividades[[#This Row],[IL]], TablaActividades[PA])</calculatedColumnFormula>
    </tableColumn>
    <tableColumn id="15" xr3:uid="{E79E91CD-476B-4274-B5FF-20C3F079D632}" name="FACTOR_IDOCEO" dataDxfId="26">
      <calculatedColumnFormula>TablaActividades[[#This Row],[PIL]]*TablaActividades[[#This Row],[PA%]]</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33EE84-764F-443E-B56D-7508D0E00C8F}" name="IE" displayName="IE" ref="B1:B11" totalsRowShown="0">
  <autoFilter ref="B1:B11" xr:uid="{D333EE84-764F-443E-B56D-7508D0E00C8F}"/>
  <tableColumns count="1">
    <tableColumn id="1" xr3:uid="{6876AE00-7966-4A7A-8AC0-5BA202D92B56}" name="I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D1D197E-10DF-4202-BD25-4003AD7EBEDE}" name="AE" displayName="AE" ref="D1:D4" totalsRowShown="0">
  <autoFilter ref="D1:D4" xr:uid="{CD1D197E-10DF-4202-BD25-4003AD7EBEDE}"/>
  <tableColumns count="1">
    <tableColumn id="1" xr3:uid="{299E559A-43B5-4B60-86AC-CF3D67858844}" name="A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26686B1-F046-4660-B9DC-F80F55DC4EB0}" name="CC" displayName="CC" ref="F1:F5" totalsRowShown="0">
  <autoFilter ref="F1:F5" xr:uid="{A26686B1-F046-4660-B9DC-F80F55DC4EB0}"/>
  <tableColumns count="1">
    <tableColumn id="1" xr3:uid="{BBC90D94-2160-4FEF-8E87-B2A57DB9F5E4}" name="CC"/>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FBF53F1-E5BD-4552-8736-C44BD1A75D29}" name="Tabla8" displayName="Tabla8" ref="A1:B14" totalsRowShown="0">
  <autoFilter ref="A1:B14" xr:uid="{2FBF53F1-E5BD-4552-8736-C44BD1A75D29}"/>
  <tableColumns count="2">
    <tableColumn id="1" xr3:uid="{90FECDCF-45E9-489A-8D84-D96FF1706F85}" name="Campo" dataDxfId="12"/>
    <tableColumn id="2" xr3:uid="{A019E4BB-4AF1-4BC1-8881-58A258BE6FB5}" name="Valor" dataDxfId="1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BF97289-E48C-481C-9836-6594B69097BD}" name="Tabla9" displayName="Tabla9" ref="A1:P18" totalsRowShown="0">
  <autoFilter ref="A1:P18" xr:uid="{BBF97289-E48C-481C-9836-6594B69097BD}"/>
  <tableColumns count="16">
    <tableColumn id="1" xr3:uid="{D6D7577D-B473-4E80-9BCB-B2FF9E742F10}" name="Campo"/>
    <tableColumn id="2" xr3:uid="{0F10AE06-1695-45A2-8B92-949AA1805617}" name="Situación 1"/>
    <tableColumn id="3" xr3:uid="{A3E737C9-28AF-44E2-B1C6-C7BD357972BB}" name="Situación 2"/>
    <tableColumn id="4" xr3:uid="{765225AD-C7A7-42DE-8081-175CC749DCB0}" name="Situación 3"/>
    <tableColumn id="5" xr3:uid="{D3ADECB6-7515-42E0-8574-C8E239D7A43B}" name="Situación 4"/>
    <tableColumn id="6" xr3:uid="{48D0FC4D-CC70-41F3-AD17-A066B26E6F4E}" name="Situación 5"/>
    <tableColumn id="7" xr3:uid="{91B5F4AB-DBED-443D-AE61-B92EDEDE8E43}" name="Situación 6"/>
    <tableColumn id="8" xr3:uid="{97758050-0219-4CA0-AB6E-03CDE4D390FE}" name="Situación 7"/>
    <tableColumn id="9" xr3:uid="{3D375433-BB74-4757-8661-5F19E7D1EF45}" name="Situación 8"/>
    <tableColumn id="10" xr3:uid="{CF1579DF-CC0F-4FDE-804A-54719E3E02DB}" name="Situación 9"/>
    <tableColumn id="11" xr3:uid="{100237E9-A3DB-4287-B142-6EDD1CA74A27}" name="Situación 10"/>
    <tableColumn id="12" xr3:uid="{F3952C2E-4FD8-455B-A8B2-117EE2DDEB0E}" name="Situación 11"/>
    <tableColumn id="13" xr3:uid="{7E8764CD-E53E-43A0-ACED-06DD22DF9B7D}" name="Situación 12"/>
    <tableColumn id="14" xr3:uid="{1603AE73-85B9-4EB2-B59E-99C0EFB7577D}" name="Situación 13"/>
    <tableColumn id="15" xr3:uid="{C132BBD4-C955-4CEB-BD43-298758F02536}" name="Situación 14"/>
    <tableColumn id="16" xr3:uid="{68ED166A-0D34-4250-922B-553675F55789}" name="Situación 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44B4B-8ABF-4821-B356-0BE9CD614ADE}">
  <sheetPr>
    <tabColor rgb="FFFF3399"/>
  </sheetPr>
  <dimension ref="B1:N97"/>
  <sheetViews>
    <sheetView topLeftCell="A55" zoomScaleNormal="100" workbookViewId="0">
      <selection activeCell="D101" sqref="D101"/>
    </sheetView>
  </sheetViews>
  <sheetFormatPr baseColWidth="10" defaultColWidth="11.42578125" defaultRowHeight="15" x14ac:dyDescent="0.25"/>
  <cols>
    <col min="2" max="2" width="17.5703125" bestFit="1" customWidth="1"/>
    <col min="3" max="3" width="22.140625" bestFit="1" customWidth="1"/>
    <col min="4" max="4" width="34.42578125" bestFit="1" customWidth="1"/>
    <col min="5" max="5" width="24.28515625" bestFit="1" customWidth="1"/>
    <col min="10" max="10" width="23.42578125" bestFit="1" customWidth="1"/>
    <col min="11" max="11" width="21.5703125" bestFit="1" customWidth="1"/>
    <col min="12" max="12" width="17.28515625" customWidth="1"/>
    <col min="13" max="13" width="8.5703125" bestFit="1" customWidth="1"/>
    <col min="14" max="15" width="10" bestFit="1" customWidth="1"/>
    <col min="16" max="16" width="11.85546875" customWidth="1"/>
    <col min="17" max="17" width="11" customWidth="1"/>
    <col min="18" max="18" width="8.5703125" bestFit="1" customWidth="1"/>
    <col min="19" max="19" width="20.140625" customWidth="1"/>
    <col min="20" max="20" width="20" customWidth="1"/>
    <col min="21" max="24" width="10" bestFit="1" customWidth="1"/>
    <col min="25" max="26" width="8.85546875" bestFit="1" customWidth="1"/>
    <col min="27" max="27" width="18.28515625" bestFit="1" customWidth="1"/>
    <col min="28" max="28" width="12.5703125" bestFit="1" customWidth="1"/>
    <col min="29" max="31" width="12.5703125" customWidth="1"/>
    <col min="32" max="32" width="7.7109375" bestFit="1" customWidth="1"/>
    <col min="33" max="33" width="7.28515625" bestFit="1" customWidth="1"/>
    <col min="34" max="34" width="7.7109375" bestFit="1" customWidth="1"/>
    <col min="35" max="35" width="7.28515625" bestFit="1" customWidth="1"/>
    <col min="36" max="36" width="7.7109375" bestFit="1" customWidth="1"/>
    <col min="37" max="37" width="7.28515625" bestFit="1" customWidth="1"/>
    <col min="38" max="38" width="7.7109375" bestFit="1" customWidth="1"/>
    <col min="39" max="39" width="6.85546875" bestFit="1" customWidth="1"/>
    <col min="40" max="40" width="16.42578125" customWidth="1"/>
    <col min="41" max="41" width="7.28515625" bestFit="1" customWidth="1"/>
    <col min="42" max="42" width="7.7109375" bestFit="1" customWidth="1"/>
    <col min="43" max="43" width="6.85546875" bestFit="1" customWidth="1"/>
    <col min="44" max="44" width="7.28515625" bestFit="1" customWidth="1"/>
    <col min="45" max="45" width="25.42578125" customWidth="1"/>
    <col min="46" max="46" width="21.28515625" customWidth="1"/>
  </cols>
  <sheetData>
    <row r="1" spans="2:4" s="8" customFormat="1" x14ac:dyDescent="0.25"/>
    <row r="2" spans="2:4" x14ac:dyDescent="0.25">
      <c r="B2" s="6" t="s">
        <v>0</v>
      </c>
    </row>
    <row r="5" spans="2:4" x14ac:dyDescent="0.25">
      <c r="B5" s="3" t="s">
        <v>1</v>
      </c>
      <c r="C5" t="s">
        <v>2</v>
      </c>
      <c r="D5" t="s">
        <v>3</v>
      </c>
    </row>
    <row r="6" spans="2:4" x14ac:dyDescent="0.25">
      <c r="B6" s="4" t="s">
        <v>4</v>
      </c>
      <c r="C6" s="20">
        <v>1</v>
      </c>
      <c r="D6" s="5">
        <v>4.1666666666666664E-2</v>
      </c>
    </row>
    <row r="7" spans="2:4" x14ac:dyDescent="0.25">
      <c r="B7" s="4" t="s">
        <v>5</v>
      </c>
      <c r="C7" s="20">
        <v>1</v>
      </c>
      <c r="D7" s="5">
        <v>4.1666666666666664E-2</v>
      </c>
    </row>
    <row r="8" spans="2:4" x14ac:dyDescent="0.25">
      <c r="B8" s="4" t="s">
        <v>6</v>
      </c>
      <c r="C8" s="20">
        <v>1</v>
      </c>
      <c r="D8" s="5">
        <v>4.1666666666666664E-2</v>
      </c>
    </row>
    <row r="9" spans="2:4" x14ac:dyDescent="0.25">
      <c r="B9" s="4" t="s">
        <v>7</v>
      </c>
      <c r="C9" s="20">
        <v>1</v>
      </c>
      <c r="D9" s="5">
        <v>4.1666666666666664E-2</v>
      </c>
    </row>
    <row r="10" spans="2:4" x14ac:dyDescent="0.25">
      <c r="B10" s="4" t="s">
        <v>8</v>
      </c>
      <c r="C10" s="20">
        <v>1</v>
      </c>
      <c r="D10" s="5">
        <v>4.1666666666666664E-2</v>
      </c>
    </row>
    <row r="11" spans="2:4" x14ac:dyDescent="0.25">
      <c r="B11" s="4" t="s">
        <v>9</v>
      </c>
      <c r="C11" s="20">
        <v>1</v>
      </c>
      <c r="D11" s="5">
        <v>4.1666666666666664E-2</v>
      </c>
    </row>
    <row r="12" spans="2:4" x14ac:dyDescent="0.25">
      <c r="B12" s="4" t="s">
        <v>125</v>
      </c>
      <c r="C12" s="20">
        <v>1</v>
      </c>
      <c r="D12" s="5">
        <v>4.1666666666666664E-2</v>
      </c>
    </row>
    <row r="13" spans="2:4" x14ac:dyDescent="0.25">
      <c r="B13" s="4" t="s">
        <v>10</v>
      </c>
      <c r="C13" s="20">
        <v>1</v>
      </c>
      <c r="D13" s="5">
        <v>4.1666666666666664E-2</v>
      </c>
    </row>
    <row r="14" spans="2:4" x14ac:dyDescent="0.25">
      <c r="B14" s="4" t="s">
        <v>11</v>
      </c>
      <c r="C14" s="20">
        <v>1</v>
      </c>
      <c r="D14" s="5">
        <v>4.1666666666666664E-2</v>
      </c>
    </row>
    <row r="15" spans="2:4" x14ac:dyDescent="0.25">
      <c r="B15" s="4" t="s">
        <v>126</v>
      </c>
      <c r="C15" s="20">
        <v>1</v>
      </c>
      <c r="D15" s="5">
        <v>4.1666666666666664E-2</v>
      </c>
    </row>
    <row r="16" spans="2:4" x14ac:dyDescent="0.25">
      <c r="B16" s="4" t="s">
        <v>127</v>
      </c>
      <c r="C16" s="20">
        <v>1</v>
      </c>
      <c r="D16" s="5">
        <v>4.1666666666666664E-2</v>
      </c>
    </row>
    <row r="17" spans="2:14" x14ac:dyDescent="0.25">
      <c r="B17" s="4" t="s">
        <v>128</v>
      </c>
      <c r="C17" s="20">
        <v>1</v>
      </c>
      <c r="D17" s="5">
        <v>4.1666666666666664E-2</v>
      </c>
    </row>
    <row r="18" spans="2:14" x14ac:dyDescent="0.25">
      <c r="B18" s="4" t="s">
        <v>12</v>
      </c>
      <c r="C18" s="20">
        <v>1</v>
      </c>
      <c r="D18" s="5">
        <v>4.1666666666666664E-2</v>
      </c>
    </row>
    <row r="19" spans="2:14" x14ac:dyDescent="0.25">
      <c r="B19" s="4" t="s">
        <v>13</v>
      </c>
      <c r="C19" s="20">
        <v>1</v>
      </c>
      <c r="D19" s="5">
        <v>4.1666666666666664E-2</v>
      </c>
    </row>
    <row r="20" spans="2:14" x14ac:dyDescent="0.25">
      <c r="B20" s="4" t="s">
        <v>14</v>
      </c>
      <c r="C20" s="20">
        <v>1</v>
      </c>
      <c r="D20" s="5">
        <v>4.1666666666666664E-2</v>
      </c>
    </row>
    <row r="21" spans="2:14" x14ac:dyDescent="0.25">
      <c r="B21" s="4" t="s">
        <v>15</v>
      </c>
      <c r="C21" s="20">
        <v>1</v>
      </c>
      <c r="D21" s="5">
        <v>4.1666666666666664E-2</v>
      </c>
    </row>
    <row r="22" spans="2:14" x14ac:dyDescent="0.25">
      <c r="B22" s="4" t="s">
        <v>129</v>
      </c>
      <c r="C22" s="20">
        <v>1</v>
      </c>
      <c r="D22" s="5">
        <v>4.1666666666666664E-2</v>
      </c>
    </row>
    <row r="23" spans="2:14" x14ac:dyDescent="0.25">
      <c r="B23" s="4" t="s">
        <v>16</v>
      </c>
      <c r="C23" s="20">
        <v>1</v>
      </c>
      <c r="D23" s="5">
        <v>4.1666666666666664E-2</v>
      </c>
    </row>
    <row r="24" spans="2:14" x14ac:dyDescent="0.25">
      <c r="B24" s="4" t="s">
        <v>70</v>
      </c>
      <c r="C24" s="20">
        <v>1</v>
      </c>
      <c r="D24" s="5">
        <v>4.1666666666666664E-2</v>
      </c>
    </row>
    <row r="25" spans="2:14" x14ac:dyDescent="0.25">
      <c r="B25" s="4" t="s">
        <v>130</v>
      </c>
      <c r="C25" s="20">
        <v>1</v>
      </c>
      <c r="D25" s="5">
        <v>4.1666666666666664E-2</v>
      </c>
    </row>
    <row r="26" spans="2:14" x14ac:dyDescent="0.25">
      <c r="B26" s="4" t="s">
        <v>131</v>
      </c>
      <c r="C26" s="20">
        <v>1</v>
      </c>
      <c r="D26" s="5">
        <v>4.1666666666666664E-2</v>
      </c>
    </row>
    <row r="27" spans="2:14" x14ac:dyDescent="0.25">
      <c r="B27" s="4" t="s">
        <v>295</v>
      </c>
      <c r="C27" s="20">
        <v>1</v>
      </c>
      <c r="D27" s="5">
        <v>4.1666666666666664E-2</v>
      </c>
    </row>
    <row r="28" spans="2:14" x14ac:dyDescent="0.25">
      <c r="B28" s="4" t="s">
        <v>132</v>
      </c>
      <c r="C28" s="20">
        <v>1</v>
      </c>
      <c r="D28" s="5">
        <v>4.1666666666666664E-2</v>
      </c>
    </row>
    <row r="29" spans="2:14" s="8" customFormat="1" x14ac:dyDescent="0.25">
      <c r="B29" s="4" t="s">
        <v>133</v>
      </c>
      <c r="C29" s="20">
        <v>1</v>
      </c>
      <c r="D29" s="5">
        <v>4.1666666666666664E-2</v>
      </c>
    </row>
    <row r="30" spans="2:14" x14ac:dyDescent="0.25">
      <c r="B30" s="4" t="s">
        <v>17</v>
      </c>
      <c r="C30" s="20">
        <v>24</v>
      </c>
      <c r="D30" s="5">
        <v>1</v>
      </c>
    </row>
    <row r="31" spans="2:14" x14ac:dyDescent="0.25">
      <c r="B31" s="6" t="s">
        <v>18</v>
      </c>
    </row>
    <row r="32" spans="2:14" x14ac:dyDescent="0.25">
      <c r="N32" t="s">
        <v>19</v>
      </c>
    </row>
    <row r="34" spans="2:3" x14ac:dyDescent="0.25">
      <c r="B34" s="3" t="s">
        <v>20</v>
      </c>
      <c r="C34" t="s">
        <v>21</v>
      </c>
    </row>
    <row r="35" spans="2:3" x14ac:dyDescent="0.25">
      <c r="B35" s="4" t="s">
        <v>323</v>
      </c>
      <c r="C35" s="5">
        <v>7.8125E-2</v>
      </c>
    </row>
    <row r="36" spans="2:3" x14ac:dyDescent="0.25">
      <c r="B36" s="4" t="s">
        <v>324</v>
      </c>
      <c r="C36" s="5">
        <v>5.859375E-2</v>
      </c>
    </row>
    <row r="37" spans="2:3" x14ac:dyDescent="0.25">
      <c r="B37" s="4" t="s">
        <v>325</v>
      </c>
      <c r="C37" s="5">
        <v>3.90625E-2</v>
      </c>
    </row>
    <row r="38" spans="2:3" x14ac:dyDescent="0.25">
      <c r="B38" s="4" t="s">
        <v>326</v>
      </c>
      <c r="C38" s="5">
        <v>5.859375E-2</v>
      </c>
    </row>
    <row r="39" spans="2:3" x14ac:dyDescent="0.25">
      <c r="B39" s="4" t="s">
        <v>327</v>
      </c>
      <c r="C39" s="5">
        <v>3.90625E-2</v>
      </c>
    </row>
    <row r="40" spans="2:3" x14ac:dyDescent="0.25">
      <c r="B40" s="4" t="s">
        <v>328</v>
      </c>
      <c r="C40" s="5">
        <v>3.90625E-2</v>
      </c>
    </row>
    <row r="41" spans="2:3" x14ac:dyDescent="0.25">
      <c r="B41" s="4" t="s">
        <v>329</v>
      </c>
      <c r="C41" s="5">
        <v>1.953125E-2</v>
      </c>
    </row>
    <row r="42" spans="2:3" x14ac:dyDescent="0.25">
      <c r="B42" s="4" t="s">
        <v>330</v>
      </c>
      <c r="C42" s="5">
        <v>7.8125E-2</v>
      </c>
    </row>
    <row r="43" spans="2:3" x14ac:dyDescent="0.25">
      <c r="B43" s="4" t="s">
        <v>331</v>
      </c>
      <c r="C43" s="5">
        <v>5.859375E-2</v>
      </c>
    </row>
    <row r="44" spans="2:3" x14ac:dyDescent="0.25">
      <c r="B44" s="4" t="s">
        <v>332</v>
      </c>
      <c r="C44" s="5">
        <v>6.25E-2</v>
      </c>
    </row>
    <row r="45" spans="2:3" x14ac:dyDescent="0.25">
      <c r="B45" s="4" t="s">
        <v>333</v>
      </c>
      <c r="C45" s="5">
        <v>7.8125E-2</v>
      </c>
    </row>
    <row r="46" spans="2:3" x14ac:dyDescent="0.25">
      <c r="B46" s="4" t="s">
        <v>334</v>
      </c>
      <c r="C46" s="5">
        <v>9.765625E-2</v>
      </c>
    </row>
    <row r="47" spans="2:3" x14ac:dyDescent="0.25">
      <c r="B47" s="4" t="s">
        <v>335</v>
      </c>
      <c r="C47" s="5">
        <v>9.765625E-2</v>
      </c>
    </row>
    <row r="48" spans="2:3" x14ac:dyDescent="0.25">
      <c r="B48" s="4" t="s">
        <v>336</v>
      </c>
      <c r="C48" s="5">
        <v>9.765625E-2</v>
      </c>
    </row>
    <row r="49" spans="2:3" s="8" customFormat="1" x14ac:dyDescent="0.25">
      <c r="B49" s="4" t="s">
        <v>337</v>
      </c>
      <c r="C49" s="5">
        <v>9.765625E-2</v>
      </c>
    </row>
    <row r="50" spans="2:3" x14ac:dyDescent="0.25">
      <c r="B50" s="4" t="s">
        <v>17</v>
      </c>
      <c r="C50" s="5">
        <v>1</v>
      </c>
    </row>
    <row r="51" spans="2:3" x14ac:dyDescent="0.25">
      <c r="B51" s="6" t="s">
        <v>22</v>
      </c>
    </row>
    <row r="54" spans="2:3" x14ac:dyDescent="0.25">
      <c r="B54" s="5" t="e" vm="1">
        <v>#VALUE!</v>
      </c>
    </row>
    <row r="68" spans="2:3" s="8" customFormat="1" x14ac:dyDescent="0.25"/>
    <row r="70" spans="2:3" x14ac:dyDescent="0.25">
      <c r="B70" s="6" t="s">
        <v>25</v>
      </c>
    </row>
    <row r="73" spans="2:3" x14ac:dyDescent="0.25">
      <c r="B73" s="3" t="s">
        <v>20</v>
      </c>
      <c r="C73" t="s">
        <v>26</v>
      </c>
    </row>
    <row r="74" spans="2:3" x14ac:dyDescent="0.25">
      <c r="B74" s="4" t="s">
        <v>447</v>
      </c>
      <c r="C74" s="5">
        <v>0.95833333333333293</v>
      </c>
    </row>
    <row r="75" spans="2:3" x14ac:dyDescent="0.25">
      <c r="B75" s="4" t="s">
        <v>27</v>
      </c>
      <c r="C75" s="5">
        <v>4.1666666666666664E-2</v>
      </c>
    </row>
    <row r="76" spans="2:3" x14ac:dyDescent="0.25">
      <c r="B76" s="4" t="s">
        <v>17</v>
      </c>
      <c r="C76" s="5">
        <v>0.99999999999999956</v>
      </c>
    </row>
    <row r="91" spans="2:5" s="8" customFormat="1" x14ac:dyDescent="0.25"/>
    <row r="92" spans="2:5" x14ac:dyDescent="0.25">
      <c r="B92" s="6"/>
    </row>
    <row r="93" spans="2:5" x14ac:dyDescent="0.25">
      <c r="B93" s="6" t="s">
        <v>29</v>
      </c>
    </row>
    <row r="95" spans="2:5" x14ac:dyDescent="0.25">
      <c r="B95" s="3" t="s">
        <v>30</v>
      </c>
      <c r="C95" s="3" t="s">
        <v>31</v>
      </c>
      <c r="D95" t="s">
        <v>32</v>
      </c>
      <c r="E95" t="s">
        <v>33</v>
      </c>
    </row>
    <row r="96" spans="2:5" x14ac:dyDescent="0.25">
      <c r="B96" t="s">
        <v>456</v>
      </c>
      <c r="C96" t="s">
        <v>437</v>
      </c>
      <c r="D96" s="5">
        <v>4.1666666666666664E-2</v>
      </c>
      <c r="E96" s="5">
        <v>1</v>
      </c>
    </row>
    <row r="97" spans="2:5" x14ac:dyDescent="0.25">
      <c r="B97" t="s">
        <v>17</v>
      </c>
      <c r="D97" s="5">
        <v>4.1666666666666664E-2</v>
      </c>
      <c r="E97" s="5">
        <v>1</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216AE-708E-4B1E-A5C7-096D0A83F727}">
  <dimension ref="A1:E25"/>
  <sheetViews>
    <sheetView workbookViewId="0">
      <selection activeCell="H27" sqref="H27"/>
    </sheetView>
  </sheetViews>
  <sheetFormatPr baseColWidth="10" defaultColWidth="11.42578125" defaultRowHeight="15" x14ac:dyDescent="0.25"/>
  <cols>
    <col min="1" max="1" width="11.42578125" style="13"/>
    <col min="2" max="2" width="15" style="14" customWidth="1"/>
    <col min="3" max="3" width="38.5703125" style="13" customWidth="1"/>
    <col min="4" max="4" width="13.7109375" style="13" customWidth="1"/>
    <col min="5" max="5" width="11.42578125" style="13" customWidth="1"/>
  </cols>
  <sheetData>
    <row r="1" spans="1:5" x14ac:dyDescent="0.25">
      <c r="A1" s="11" t="s">
        <v>23</v>
      </c>
      <c r="B1" s="12" t="s">
        <v>34</v>
      </c>
      <c r="C1" s="11" t="s">
        <v>35</v>
      </c>
      <c r="D1" s="11" t="s">
        <v>36</v>
      </c>
      <c r="E1" s="11" t="s">
        <v>24</v>
      </c>
    </row>
    <row r="2" spans="1:5" x14ac:dyDescent="0.25">
      <c r="A2" s="13" t="str" cm="1">
        <f t="array" ref="A2:A25">TablaCriteriosEvaluacion[CE]</f>
        <v>1.1</v>
      </c>
      <c r="B2" s="14" cm="1">
        <f t="array" ref="B2:B25">TablaCriteriosEvaluacion[P%]</f>
        <v>4.1666666666666664E-2</v>
      </c>
      <c r="C2" s="13" t="str" cm="1">
        <f t="array" ref="C2:C25">_xlfn.MAP(_xlfn.ANCHORARRAY(A2), _xlfn.LAMBDA(_xlpm.ce_valor, IFERROR(_xlfn.TEXTJOIN(", ", TRUE, _xlfn.UNIQUE(SUBSTITUTE(TRIM(_xlfn.TEXTSPLIT(_xlfn.TEXTJOIN(",", TRUE, _xlfn._xlws.FILTER(TablaIndicadoresLogro[CON], TablaIndicadoresLogro[CE]=_xlpm.ce_valor)),, ",")), " ", "."))), "")))</f>
        <v>A.1.1</v>
      </c>
      <c r="D2" s="13" t="str" cm="1">
        <f t="array" ref="D2:D25">_xlfn.MAP(_xlfn.ANCHORARRAY(A2), _xlfn.LAMBDA(_xlpm.ce_valor, IFERROR(_xlfn.TEXTJOIN(", ", TRUE, _xlfn.UNIQUE(SUBSTITUTE(TRIM(_xlfn.TEXTSPLIT(_xlfn.TEXTJOIN(",", TRUE, _xlfn._xlws.FILTER(TablaIndicadoresLogro[CT], TablaIndicadoresLogro[CE]=_xlpm.ce_valor)),, ",")), " ", "."))), "")))</f>
        <v/>
      </c>
      <c r="E2" s="13" t="str" cm="1">
        <f t="array" ref="E2:E25">_xlfn.MAP(_xlfn.ANCHORARRAY(A2), _xlfn.LAMBDA(_xlpm.ce_valor, IFERROR(_xlfn.TEXTJOIN(", ", TRUE, _xlfn.UNIQUE(SUBSTITUTE(TRIM(_xlfn.TEXTSPLIT(_xlfn.TEXTJOIN(",", TRUE, _xlfn._xlws.FILTER(TablaIndicadoresLogro[SA], TablaIndicadoresLogro[CE]=_xlpm.ce_valor)),, ",")), " ", "."))), "")))</f>
        <v>3</v>
      </c>
    </row>
    <row r="3" spans="1:5" x14ac:dyDescent="0.25">
      <c r="A3" s="13" t="str">
        <v>1.2</v>
      </c>
      <c r="B3" s="14">
        <v>4.1666666666666664E-2</v>
      </c>
      <c r="C3" s="13" t="str">
        <v/>
      </c>
      <c r="D3" s="13" t="str">
        <v/>
      </c>
      <c r="E3" s="13" t="str">
        <v>9</v>
      </c>
    </row>
    <row r="4" spans="1:5" x14ac:dyDescent="0.25">
      <c r="A4" s="13" t="str">
        <v>1.3</v>
      </c>
      <c r="B4" s="14">
        <v>4.1666666666666664E-2</v>
      </c>
      <c r="C4" s="13" t="str">
        <v/>
      </c>
      <c r="D4" s="13" t="str">
        <v/>
      </c>
      <c r="E4" s="13" t="str">
        <v>3</v>
      </c>
    </row>
    <row r="5" spans="1:5" x14ac:dyDescent="0.25">
      <c r="A5" s="13" t="str">
        <v>2.1</v>
      </c>
      <c r="B5" s="14">
        <v>4.1666666666666664E-2</v>
      </c>
      <c r="C5" s="13" t="str">
        <v/>
      </c>
      <c r="D5" s="13" t="str">
        <v/>
      </c>
      <c r="E5" s="13" t="str">
        <v>10</v>
      </c>
    </row>
    <row r="6" spans="1:5" x14ac:dyDescent="0.25">
      <c r="A6" s="13" t="str">
        <v>2.2</v>
      </c>
      <c r="B6" s="14">
        <v>4.1666666666666664E-2</v>
      </c>
      <c r="C6" s="13" t="str">
        <v/>
      </c>
      <c r="D6" s="13" t="str">
        <v/>
      </c>
      <c r="E6" s="13" t="str">
        <v>12</v>
      </c>
    </row>
    <row r="7" spans="1:5" x14ac:dyDescent="0.25">
      <c r="A7" s="13" t="str">
        <v>2.3</v>
      </c>
      <c r="B7" s="14">
        <v>4.1666666666666664E-2</v>
      </c>
      <c r="C7" s="13" t="str">
        <v/>
      </c>
      <c r="D7" s="13" t="str">
        <v/>
      </c>
      <c r="E7" s="13" t="str">
        <v>15</v>
      </c>
    </row>
    <row r="8" spans="1:5" x14ac:dyDescent="0.25">
      <c r="A8" s="13" t="str">
        <v>2.4</v>
      </c>
      <c r="B8" s="14">
        <v>4.1666666666666664E-2</v>
      </c>
      <c r="C8" s="13" t="str">
        <v/>
      </c>
      <c r="D8" s="13" t="str">
        <v/>
      </c>
      <c r="E8" s="13" t="str">
        <v>11</v>
      </c>
    </row>
    <row r="9" spans="1:5" x14ac:dyDescent="0.25">
      <c r="A9" s="13" t="str">
        <v>3.1</v>
      </c>
      <c r="B9" s="14">
        <v>4.1666666666666664E-2</v>
      </c>
      <c r="C9" s="13" t="str">
        <v/>
      </c>
      <c r="D9" s="13" t="str">
        <v/>
      </c>
      <c r="E9" s="13" t="str">
        <v>5</v>
      </c>
    </row>
    <row r="10" spans="1:5" x14ac:dyDescent="0.25">
      <c r="A10" s="13" t="str">
        <v>3.2</v>
      </c>
      <c r="B10" s="14">
        <v>4.1666666666666664E-2</v>
      </c>
      <c r="C10" s="13" t="str">
        <v/>
      </c>
      <c r="D10" s="13" t="str">
        <v/>
      </c>
      <c r="E10" s="13" t="str">
        <v>6</v>
      </c>
    </row>
    <row r="11" spans="1:5" x14ac:dyDescent="0.25">
      <c r="A11" s="13" t="str">
        <v>3.3</v>
      </c>
      <c r="B11" s="14">
        <v>4.1666666666666664E-2</v>
      </c>
      <c r="C11" s="13" t="str">
        <v/>
      </c>
      <c r="D11" s="13" t="str">
        <v/>
      </c>
      <c r="E11" s="13" t="str">
        <v>7</v>
      </c>
    </row>
    <row r="12" spans="1:5" x14ac:dyDescent="0.25">
      <c r="A12" s="13" t="str">
        <v>3.4</v>
      </c>
      <c r="B12" s="14">
        <v>4.1666666666666664E-2</v>
      </c>
      <c r="C12" s="13" t="str">
        <v/>
      </c>
      <c r="D12" s="13" t="str">
        <v/>
      </c>
      <c r="E12" s="13" t="str">
        <v>15</v>
      </c>
    </row>
    <row r="13" spans="1:5" x14ac:dyDescent="0.25">
      <c r="A13" s="13" t="str">
        <v>3.5</v>
      </c>
      <c r="B13" s="14">
        <v>4.1666666666666664E-2</v>
      </c>
      <c r="C13" s="13" t="str">
        <v/>
      </c>
      <c r="D13" s="13" t="str">
        <v/>
      </c>
      <c r="E13" s="13" t="str">
        <v>6</v>
      </c>
    </row>
    <row r="14" spans="1:5" x14ac:dyDescent="0.25">
      <c r="A14" s="13" t="str">
        <v>4.1</v>
      </c>
      <c r="B14" s="14">
        <v>4.1666666666666664E-2</v>
      </c>
      <c r="C14" s="13" t="str">
        <v/>
      </c>
      <c r="D14" s="13" t="str">
        <v/>
      </c>
      <c r="E14" s="13" t="str">
        <v>14</v>
      </c>
    </row>
    <row r="15" spans="1:5" x14ac:dyDescent="0.25">
      <c r="A15" s="13" t="str">
        <v>4.2</v>
      </c>
      <c r="B15" s="14">
        <v>4.1666666666666664E-2</v>
      </c>
      <c r="C15" s="13" t="str">
        <v/>
      </c>
      <c r="D15" s="13" t="str">
        <v/>
      </c>
      <c r="E15" s="13" t="str">
        <v>4</v>
      </c>
    </row>
    <row r="16" spans="1:5" x14ac:dyDescent="0.25">
      <c r="A16" s="13" t="str">
        <v>5.1</v>
      </c>
      <c r="B16" s="14">
        <v>4.1666666666666664E-2</v>
      </c>
      <c r="C16" s="13" t="str">
        <v/>
      </c>
      <c r="D16" s="13" t="str">
        <v/>
      </c>
      <c r="E16" s="13" t="str">
        <v>3</v>
      </c>
    </row>
    <row r="17" spans="1:5" x14ac:dyDescent="0.25">
      <c r="A17" s="13" t="str">
        <v>5.2</v>
      </c>
      <c r="B17" s="14">
        <v>4.1666666666666664E-2</v>
      </c>
      <c r="C17" s="13" t="str">
        <v/>
      </c>
      <c r="D17" s="13" t="str">
        <v/>
      </c>
      <c r="E17" s="13" t="str">
        <v>8</v>
      </c>
    </row>
    <row r="18" spans="1:5" x14ac:dyDescent="0.25">
      <c r="A18" s="13" t="str">
        <v>5.3</v>
      </c>
      <c r="B18" s="14">
        <v>4.1666666666666664E-2</v>
      </c>
      <c r="C18" s="13" t="str">
        <v/>
      </c>
      <c r="D18" s="13" t="str">
        <v/>
      </c>
      <c r="E18" s="13" t="str">
        <v>2</v>
      </c>
    </row>
    <row r="19" spans="1:5" x14ac:dyDescent="0.25">
      <c r="A19" s="13" t="str">
        <v>6.1</v>
      </c>
      <c r="B19" s="14">
        <v>4.1666666666666664E-2</v>
      </c>
      <c r="C19" s="13" t="str">
        <v/>
      </c>
      <c r="D19" s="13" t="str">
        <v/>
      </c>
      <c r="E19" s="13" t="str">
        <v>13</v>
      </c>
    </row>
    <row r="20" spans="1:5" x14ac:dyDescent="0.25">
      <c r="A20" s="13" t="str">
        <v>6.2</v>
      </c>
      <c r="B20" s="14">
        <v>4.1666666666666664E-2</v>
      </c>
      <c r="C20" s="13" t="str">
        <v/>
      </c>
      <c r="D20" s="13" t="str">
        <v/>
      </c>
      <c r="E20" s="13" t="str">
        <v>14</v>
      </c>
    </row>
    <row r="21" spans="1:5" x14ac:dyDescent="0.25">
      <c r="A21" s="13" t="str">
        <v>6.3</v>
      </c>
      <c r="B21" s="14">
        <v>4.1666666666666664E-2</v>
      </c>
      <c r="C21" s="13" t="str">
        <v/>
      </c>
      <c r="D21" s="13" t="str">
        <v/>
      </c>
      <c r="E21" s="13" t="str">
        <v>4</v>
      </c>
    </row>
    <row r="22" spans="1:5" x14ac:dyDescent="0.25">
      <c r="A22" s="13" t="str">
        <v>6.4</v>
      </c>
      <c r="B22" s="14">
        <v>4.1666666666666664E-2</v>
      </c>
      <c r="C22" s="13" t="str">
        <v/>
      </c>
      <c r="D22" s="13" t="str">
        <v/>
      </c>
      <c r="E22" s="13" t="str">
        <v>14</v>
      </c>
    </row>
    <row r="23" spans="1:5" x14ac:dyDescent="0.25">
      <c r="A23" s="13" t="str">
        <v>6.5</v>
      </c>
      <c r="B23" s="14">
        <v>4.1666666666666664E-2</v>
      </c>
      <c r="C23" s="13" t="str">
        <v/>
      </c>
      <c r="D23" s="13" t="str">
        <v/>
      </c>
      <c r="E23" s="13" t="str">
        <v>14</v>
      </c>
    </row>
    <row r="24" spans="1:5" x14ac:dyDescent="0.25">
      <c r="A24" s="13" t="str">
        <v>7.1</v>
      </c>
      <c r="B24" s="14">
        <v>4.1666666666666664E-2</v>
      </c>
      <c r="C24" s="13" t="str">
        <v/>
      </c>
      <c r="D24" s="13" t="str">
        <v/>
      </c>
      <c r="E24" s="13" t="str">
        <v>1</v>
      </c>
    </row>
    <row r="25" spans="1:5" x14ac:dyDescent="0.25">
      <c r="A25" s="13" t="str">
        <v>7.2</v>
      </c>
      <c r="B25" s="14">
        <v>4.1666666666666664E-2</v>
      </c>
      <c r="C25" s="13" t="str">
        <v/>
      </c>
      <c r="D25" s="13" t="str">
        <v/>
      </c>
      <c r="E25" s="13" t="str">
        <v>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28970-1EC1-4F70-A2DF-FCF5C5E29EE3}">
  <sheetPr>
    <tabColor rgb="FFFF0000"/>
  </sheetPr>
  <dimension ref="A1:C16"/>
  <sheetViews>
    <sheetView workbookViewId="0">
      <selection activeCell="B2" sqref="B2:B16"/>
    </sheetView>
  </sheetViews>
  <sheetFormatPr baseColWidth="10" defaultColWidth="11.42578125" defaultRowHeight="15" x14ac:dyDescent="0.25"/>
  <cols>
    <col min="1" max="1" width="10.85546875" bestFit="1" customWidth="1"/>
    <col min="2" max="2" width="43.85546875" customWidth="1"/>
  </cols>
  <sheetData>
    <row r="1" spans="1:3" x14ac:dyDescent="0.25">
      <c r="A1" t="s">
        <v>24</v>
      </c>
      <c r="B1" t="s">
        <v>37</v>
      </c>
      <c r="C1" t="s">
        <v>38</v>
      </c>
    </row>
    <row r="2" spans="1:3" x14ac:dyDescent="0.25">
      <c r="A2">
        <v>1</v>
      </c>
      <c r="B2" t="s">
        <v>308</v>
      </c>
      <c r="C2">
        <v>20</v>
      </c>
    </row>
    <row r="3" spans="1:3" x14ac:dyDescent="0.25">
      <c r="A3">
        <v>2</v>
      </c>
      <c r="B3" t="s">
        <v>309</v>
      </c>
      <c r="C3">
        <v>20</v>
      </c>
    </row>
    <row r="4" spans="1:3" x14ac:dyDescent="0.25">
      <c r="A4">
        <v>3</v>
      </c>
      <c r="B4" t="s">
        <v>310</v>
      </c>
      <c r="C4">
        <v>15</v>
      </c>
    </row>
    <row r="5" spans="1:3" ht="12" customHeight="1" x14ac:dyDescent="0.25">
      <c r="A5">
        <v>4</v>
      </c>
      <c r="B5" t="s">
        <v>311</v>
      </c>
      <c r="C5">
        <v>16</v>
      </c>
    </row>
    <row r="6" spans="1:3" x14ac:dyDescent="0.25">
      <c r="A6">
        <v>5</v>
      </c>
      <c r="B6" t="s">
        <v>312</v>
      </c>
      <c r="C6">
        <v>20</v>
      </c>
    </row>
    <row r="7" spans="1:3" x14ac:dyDescent="0.25">
      <c r="A7">
        <v>6</v>
      </c>
      <c r="B7" t="s">
        <v>313</v>
      </c>
      <c r="C7">
        <v>25</v>
      </c>
    </row>
    <row r="8" spans="1:3" x14ac:dyDescent="0.25">
      <c r="A8">
        <v>7</v>
      </c>
      <c r="B8" t="s">
        <v>314</v>
      </c>
      <c r="C8">
        <v>25</v>
      </c>
    </row>
    <row r="9" spans="1:3" x14ac:dyDescent="0.25">
      <c r="A9">
        <v>8</v>
      </c>
      <c r="B9" t="s">
        <v>315</v>
      </c>
      <c r="C9">
        <v>25</v>
      </c>
    </row>
    <row r="10" spans="1:3" x14ac:dyDescent="0.25">
      <c r="A10">
        <v>9</v>
      </c>
      <c r="B10" t="s">
        <v>316</v>
      </c>
      <c r="C10">
        <v>25</v>
      </c>
    </row>
    <row r="11" spans="1:3" x14ac:dyDescent="0.25">
      <c r="A11">
        <v>10</v>
      </c>
      <c r="B11" t="s">
        <v>317</v>
      </c>
      <c r="C11">
        <v>15</v>
      </c>
    </row>
    <row r="12" spans="1:3" x14ac:dyDescent="0.25">
      <c r="A12">
        <v>11</v>
      </c>
      <c r="B12" t="s">
        <v>318</v>
      </c>
      <c r="C12">
        <v>10</v>
      </c>
    </row>
    <row r="13" spans="1:3" x14ac:dyDescent="0.25">
      <c r="A13">
        <v>12</v>
      </c>
      <c r="B13" t="s">
        <v>319</v>
      </c>
      <c r="C13">
        <v>15</v>
      </c>
    </row>
    <row r="14" spans="1:3" x14ac:dyDescent="0.25">
      <c r="A14">
        <v>13</v>
      </c>
      <c r="B14" t="s">
        <v>320</v>
      </c>
      <c r="C14">
        <v>10</v>
      </c>
    </row>
    <row r="15" spans="1:3" x14ac:dyDescent="0.25">
      <c r="A15">
        <v>14</v>
      </c>
      <c r="B15" t="s">
        <v>321</v>
      </c>
      <c r="C15">
        <v>10</v>
      </c>
    </row>
    <row r="16" spans="1:3" x14ac:dyDescent="0.25">
      <c r="A16">
        <v>15</v>
      </c>
      <c r="B16" t="s">
        <v>322</v>
      </c>
      <c r="C16">
        <v>5</v>
      </c>
    </row>
  </sheetData>
  <phoneticPr fontId="1"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9E159-9698-494F-8416-9B10C2E69003}">
  <sheetPr>
    <tabColor rgb="FFFFFF00"/>
  </sheetPr>
  <dimension ref="A1:D33"/>
  <sheetViews>
    <sheetView zoomScale="85" zoomScaleNormal="85" workbookViewId="0">
      <selection activeCell="A5" sqref="A5:B28"/>
    </sheetView>
  </sheetViews>
  <sheetFormatPr baseColWidth="10" defaultColWidth="11.42578125" defaultRowHeight="15" x14ac:dyDescent="0.25"/>
  <cols>
    <col min="2" max="2" width="69.5703125" style="1" customWidth="1"/>
    <col min="3" max="3" width="19.28515625" customWidth="1"/>
    <col min="4" max="4" width="14.5703125" customWidth="1"/>
  </cols>
  <sheetData>
    <row r="1" spans="1:4" ht="18.75" x14ac:dyDescent="0.25">
      <c r="C1" s="9" t="s">
        <v>39</v>
      </c>
    </row>
    <row r="2" spans="1:4" ht="19.5" thickBot="1" x14ac:dyDescent="0.3">
      <c r="C2" s="10">
        <f>SUM(TablaCriteriosEvaluacion[P])</f>
        <v>24</v>
      </c>
    </row>
    <row r="4" spans="1:4" x14ac:dyDescent="0.25">
      <c r="A4" t="s">
        <v>23</v>
      </c>
      <c r="B4" s="1" t="s">
        <v>40</v>
      </c>
      <c r="C4" t="s">
        <v>41</v>
      </c>
      <c r="D4" t="s">
        <v>42</v>
      </c>
    </row>
    <row r="5" spans="1:4" ht="45" x14ac:dyDescent="0.25">
      <c r="A5" t="s">
        <v>4</v>
      </c>
      <c r="B5" s="1" t="s">
        <v>274</v>
      </c>
      <c r="C5">
        <v>1</v>
      </c>
      <c r="D5" s="5">
        <f>TablaCriteriosEvaluacion[[#This Row],[P]]/SUM(TablaCriteriosEvaluacion[P])</f>
        <v>4.1666666666666664E-2</v>
      </c>
    </row>
    <row r="6" spans="1:4" ht="75" x14ac:dyDescent="0.25">
      <c r="A6" t="s">
        <v>5</v>
      </c>
      <c r="B6" s="1" t="s">
        <v>275</v>
      </c>
      <c r="C6">
        <v>1</v>
      </c>
      <c r="D6" s="5">
        <f>TablaCriteriosEvaluacion[[#This Row],[P]]/SUM(TablaCriteriosEvaluacion[P])</f>
        <v>4.1666666666666664E-2</v>
      </c>
    </row>
    <row r="7" spans="1:4" ht="150" x14ac:dyDescent="0.25">
      <c r="A7" t="s">
        <v>6</v>
      </c>
      <c r="B7" s="1" t="s">
        <v>276</v>
      </c>
      <c r="C7">
        <v>1</v>
      </c>
      <c r="D7" s="5">
        <f>TablaCriteriosEvaluacion[[#This Row],[P]]/SUM(TablaCriteriosEvaluacion[P])</f>
        <v>4.1666666666666664E-2</v>
      </c>
    </row>
    <row r="8" spans="1:4" ht="45" x14ac:dyDescent="0.25">
      <c r="A8" t="s">
        <v>7</v>
      </c>
      <c r="B8" s="1" t="s">
        <v>277</v>
      </c>
      <c r="C8">
        <v>1</v>
      </c>
      <c r="D8" s="5">
        <f>TablaCriteriosEvaluacion[[#This Row],[P]]/SUM(TablaCriteriosEvaluacion[P])</f>
        <v>4.1666666666666664E-2</v>
      </c>
    </row>
    <row r="9" spans="1:4" ht="60" x14ac:dyDescent="0.25">
      <c r="A9" t="s">
        <v>8</v>
      </c>
      <c r="B9" s="1" t="s">
        <v>278</v>
      </c>
      <c r="C9">
        <v>1</v>
      </c>
      <c r="D9" s="5">
        <f>TablaCriteriosEvaluacion[[#This Row],[P]]/SUM(TablaCriteriosEvaluacion[P])</f>
        <v>4.1666666666666664E-2</v>
      </c>
    </row>
    <row r="10" spans="1:4" ht="75" x14ac:dyDescent="0.25">
      <c r="A10" t="s">
        <v>9</v>
      </c>
      <c r="B10" s="1" t="s">
        <v>279</v>
      </c>
      <c r="C10">
        <v>1</v>
      </c>
      <c r="D10" s="5">
        <f>TablaCriteriosEvaluacion[[#This Row],[P]]/SUM(TablaCriteriosEvaluacion[P])</f>
        <v>4.1666666666666664E-2</v>
      </c>
    </row>
    <row r="11" spans="1:4" ht="90" x14ac:dyDescent="0.25">
      <c r="A11" t="s">
        <v>125</v>
      </c>
      <c r="B11" s="1" t="s">
        <v>280</v>
      </c>
      <c r="C11">
        <v>1</v>
      </c>
      <c r="D11" s="5">
        <f>TablaCriteriosEvaluacion[[#This Row],[P]]/SUM(TablaCriteriosEvaluacion[P])</f>
        <v>4.1666666666666664E-2</v>
      </c>
    </row>
    <row r="12" spans="1:4" ht="60" x14ac:dyDescent="0.25">
      <c r="A12" t="s">
        <v>10</v>
      </c>
      <c r="B12" s="1" t="s">
        <v>281</v>
      </c>
      <c r="C12">
        <v>1</v>
      </c>
      <c r="D12" s="5">
        <f>TablaCriteriosEvaluacion[[#This Row],[P]]/SUM(TablaCriteriosEvaluacion[P])</f>
        <v>4.1666666666666664E-2</v>
      </c>
    </row>
    <row r="13" spans="1:4" x14ac:dyDescent="0.25">
      <c r="A13" t="s">
        <v>11</v>
      </c>
      <c r="B13" t="s">
        <v>282</v>
      </c>
      <c r="C13">
        <v>1</v>
      </c>
      <c r="D13" s="5">
        <f>TablaCriteriosEvaluacion[[#This Row],[P]]/SUM(TablaCriteriosEvaluacion[P])</f>
        <v>4.1666666666666664E-2</v>
      </c>
    </row>
    <row r="14" spans="1:4" x14ac:dyDescent="0.25">
      <c r="A14" t="s">
        <v>126</v>
      </c>
      <c r="B14" t="s">
        <v>283</v>
      </c>
      <c r="C14">
        <v>1</v>
      </c>
      <c r="D14" s="5">
        <f>TablaCriteriosEvaluacion[[#This Row],[P]]/SUM(TablaCriteriosEvaluacion[P])</f>
        <v>4.1666666666666664E-2</v>
      </c>
    </row>
    <row r="15" spans="1:4" x14ac:dyDescent="0.25">
      <c r="A15" t="s">
        <v>127</v>
      </c>
      <c r="B15" t="s">
        <v>284</v>
      </c>
      <c r="C15">
        <v>1</v>
      </c>
      <c r="D15" s="5">
        <f>TablaCriteriosEvaluacion[[#This Row],[P]]/SUM(TablaCriteriosEvaluacion[P])</f>
        <v>4.1666666666666664E-2</v>
      </c>
    </row>
    <row r="16" spans="1:4" x14ac:dyDescent="0.25">
      <c r="A16" t="s">
        <v>128</v>
      </c>
      <c r="B16" t="s">
        <v>285</v>
      </c>
      <c r="C16">
        <v>1</v>
      </c>
      <c r="D16" s="5">
        <f>TablaCriteriosEvaluacion[[#This Row],[P]]/SUM(TablaCriteriosEvaluacion[P])</f>
        <v>4.1666666666666664E-2</v>
      </c>
    </row>
    <row r="17" spans="1:4" x14ac:dyDescent="0.25">
      <c r="A17" t="s">
        <v>12</v>
      </c>
      <c r="B17" t="s">
        <v>286</v>
      </c>
      <c r="C17">
        <v>1</v>
      </c>
      <c r="D17" s="5">
        <f>TablaCriteriosEvaluacion[[#This Row],[P]]/SUM(TablaCriteriosEvaluacion[P])</f>
        <v>4.1666666666666664E-2</v>
      </c>
    </row>
    <row r="18" spans="1:4" x14ac:dyDescent="0.25">
      <c r="A18" t="s">
        <v>13</v>
      </c>
      <c r="B18" t="s">
        <v>287</v>
      </c>
      <c r="C18">
        <v>1</v>
      </c>
      <c r="D18" s="5">
        <f>TablaCriteriosEvaluacion[[#This Row],[P]]/SUM(TablaCriteriosEvaluacion[P])</f>
        <v>4.1666666666666664E-2</v>
      </c>
    </row>
    <row r="19" spans="1:4" x14ac:dyDescent="0.25">
      <c r="A19" t="s">
        <v>14</v>
      </c>
      <c r="B19" t="s">
        <v>288</v>
      </c>
      <c r="C19">
        <v>1</v>
      </c>
      <c r="D19" s="5">
        <f>TablaCriteriosEvaluacion[[#This Row],[P]]/SUM(TablaCriteriosEvaluacion[P])</f>
        <v>4.1666666666666664E-2</v>
      </c>
    </row>
    <row r="20" spans="1:4" x14ac:dyDescent="0.25">
      <c r="A20" t="s">
        <v>15</v>
      </c>
      <c r="B20" t="s">
        <v>289</v>
      </c>
      <c r="C20">
        <v>1</v>
      </c>
      <c r="D20" s="5">
        <f>TablaCriteriosEvaluacion[[#This Row],[P]]/SUM(TablaCriteriosEvaluacion[P])</f>
        <v>4.1666666666666664E-2</v>
      </c>
    </row>
    <row r="21" spans="1:4" x14ac:dyDescent="0.25">
      <c r="A21" t="s">
        <v>129</v>
      </c>
      <c r="B21" t="s">
        <v>290</v>
      </c>
      <c r="C21">
        <v>1</v>
      </c>
      <c r="D21" s="5">
        <f>TablaCriteriosEvaluacion[[#This Row],[P]]/SUM(TablaCriteriosEvaluacion[P])</f>
        <v>4.1666666666666664E-2</v>
      </c>
    </row>
    <row r="22" spans="1:4" x14ac:dyDescent="0.25">
      <c r="A22" t="s">
        <v>16</v>
      </c>
      <c r="B22" t="s">
        <v>291</v>
      </c>
      <c r="C22">
        <v>1</v>
      </c>
      <c r="D22" s="5">
        <f>TablaCriteriosEvaluacion[[#This Row],[P]]/SUM(TablaCriteriosEvaluacion[P])</f>
        <v>4.1666666666666664E-2</v>
      </c>
    </row>
    <row r="23" spans="1:4" x14ac:dyDescent="0.25">
      <c r="A23" t="s">
        <v>70</v>
      </c>
      <c r="B23" t="s">
        <v>292</v>
      </c>
      <c r="C23">
        <v>1</v>
      </c>
      <c r="D23" s="5">
        <f>TablaCriteriosEvaluacion[[#This Row],[P]]/SUM(TablaCriteriosEvaluacion[P])</f>
        <v>4.1666666666666664E-2</v>
      </c>
    </row>
    <row r="24" spans="1:4" x14ac:dyDescent="0.25">
      <c r="A24" t="s">
        <v>130</v>
      </c>
      <c r="B24" t="s">
        <v>293</v>
      </c>
      <c r="C24">
        <v>1</v>
      </c>
      <c r="D24" s="5">
        <f>TablaCriteriosEvaluacion[[#This Row],[P]]/SUM(TablaCriteriosEvaluacion[P])</f>
        <v>4.1666666666666664E-2</v>
      </c>
    </row>
    <row r="25" spans="1:4" x14ac:dyDescent="0.25">
      <c r="A25" t="s">
        <v>131</v>
      </c>
      <c r="B25" t="s">
        <v>294</v>
      </c>
      <c r="C25">
        <v>1</v>
      </c>
      <c r="D25" s="5">
        <f>TablaCriteriosEvaluacion[[#This Row],[P]]/SUM(TablaCriteriosEvaluacion[P])</f>
        <v>4.1666666666666664E-2</v>
      </c>
    </row>
    <row r="26" spans="1:4" ht="90" x14ac:dyDescent="0.25">
      <c r="A26" t="s">
        <v>295</v>
      </c>
      <c r="B26" s="1" t="s">
        <v>296</v>
      </c>
      <c r="C26">
        <v>1</v>
      </c>
      <c r="D26" s="5">
        <f>TablaCriteriosEvaluacion[[#This Row],[P]]/SUM(TablaCriteriosEvaluacion[P])</f>
        <v>4.1666666666666664E-2</v>
      </c>
    </row>
    <row r="27" spans="1:4" ht="75" x14ac:dyDescent="0.25">
      <c r="A27" t="s">
        <v>132</v>
      </c>
      <c r="B27" s="1" t="s">
        <v>297</v>
      </c>
      <c r="C27">
        <v>1</v>
      </c>
      <c r="D27" s="5">
        <f>TablaCriteriosEvaluacion[[#This Row],[P]]/SUM(TablaCriteriosEvaluacion[P])</f>
        <v>4.1666666666666664E-2</v>
      </c>
    </row>
    <row r="28" spans="1:4" x14ac:dyDescent="0.25">
      <c r="A28" t="s">
        <v>133</v>
      </c>
      <c r="B28" t="s">
        <v>134</v>
      </c>
      <c r="C28">
        <v>1</v>
      </c>
      <c r="D28" s="5">
        <f>TablaCriteriosEvaluacion[[#This Row],[P]]/SUM(TablaCriteriosEvaluacion[P])</f>
        <v>4.1666666666666664E-2</v>
      </c>
    </row>
    <row r="29" spans="1:4" x14ac:dyDescent="0.25">
      <c r="B29"/>
    </row>
    <row r="30" spans="1:4" x14ac:dyDescent="0.25">
      <c r="B30"/>
    </row>
    <row r="31" spans="1:4" x14ac:dyDescent="0.25">
      <c r="B31"/>
    </row>
    <row r="32" spans="1:4" x14ac:dyDescent="0.25">
      <c r="B32"/>
    </row>
    <row r="33" spans="2:2" x14ac:dyDescent="0.25">
      <c r="B33"/>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M28"/>
  <sheetViews>
    <sheetView tabSelected="1" zoomScaleNormal="100" workbookViewId="0">
      <selection activeCell="O7" sqref="O7"/>
    </sheetView>
  </sheetViews>
  <sheetFormatPr baseColWidth="10" defaultColWidth="9.140625" defaultRowHeight="15" x14ac:dyDescent="0.25"/>
  <cols>
    <col min="2" max="2" width="30.42578125" style="1" customWidth="1"/>
    <col min="3" max="3" width="10" customWidth="1"/>
    <col min="4" max="4" width="9.140625" customWidth="1"/>
    <col min="5" max="5" width="13.140625" customWidth="1"/>
    <col min="7" max="7" width="21.42578125" style="1" customWidth="1"/>
    <col min="8" max="8" width="18.140625" bestFit="1" customWidth="1"/>
    <col min="9" max="9" width="21.7109375" customWidth="1"/>
    <col min="10" max="10" width="5.42578125" style="2" bestFit="1" customWidth="1"/>
    <col min="11" max="11" width="22.7109375" bestFit="1" customWidth="1"/>
    <col min="12" max="12" width="13.7109375" bestFit="1" customWidth="1"/>
    <col min="13" max="14" width="5.5703125" bestFit="1" customWidth="1"/>
    <col min="15" max="15" width="21.42578125" customWidth="1"/>
  </cols>
  <sheetData>
    <row r="1" spans="1:13" x14ac:dyDescent="0.25">
      <c r="F1" s="1"/>
      <c r="G1"/>
      <c r="I1" s="2"/>
      <c r="J1"/>
    </row>
    <row r="2" spans="1:13" x14ac:dyDescent="0.25">
      <c r="F2" s="1"/>
      <c r="G2"/>
      <c r="I2" s="2"/>
      <c r="J2"/>
    </row>
    <row r="3" spans="1:13" x14ac:dyDescent="0.25">
      <c r="F3" s="1"/>
      <c r="G3"/>
      <c r="I3" s="2"/>
      <c r="J3"/>
    </row>
    <row r="4" spans="1:13" x14ac:dyDescent="0.25">
      <c r="A4" t="s">
        <v>23</v>
      </c>
      <c r="B4" s="1" t="s">
        <v>40</v>
      </c>
      <c r="C4" t="s">
        <v>43</v>
      </c>
      <c r="D4" t="s">
        <v>44</v>
      </c>
      <c r="E4" t="s">
        <v>45</v>
      </c>
      <c r="F4" s="1" t="s">
        <v>46</v>
      </c>
      <c r="G4" t="s">
        <v>47</v>
      </c>
      <c r="H4" t="s">
        <v>48</v>
      </c>
      <c r="I4" s="2" t="s">
        <v>36</v>
      </c>
      <c r="J4" t="s">
        <v>49</v>
      </c>
      <c r="K4" t="s">
        <v>50</v>
      </c>
      <c r="L4" t="s">
        <v>51</v>
      </c>
      <c r="M4" t="s">
        <v>24</v>
      </c>
    </row>
    <row r="5" spans="1:13" ht="105" x14ac:dyDescent="0.25">
      <c r="A5" t="s">
        <v>4</v>
      </c>
      <c r="B5" s="1" t="s">
        <v>274</v>
      </c>
      <c r="C5" t="s">
        <v>52</v>
      </c>
      <c r="D5">
        <v>1</v>
      </c>
      <c r="E5" s="5">
        <f>TablaIndicadoresLogro[[#This Row],[PIL]]/SUMIF(TablaIndicadoresLogro[CE], TablaIndicadoresLogro[[#This Row],[CE]], TablaIndicadoresLogro[PIL])</f>
        <v>1</v>
      </c>
      <c r="F5" s="1" t="s">
        <v>72</v>
      </c>
      <c r="G5" s="1" t="s">
        <v>339</v>
      </c>
      <c r="H5" t="s">
        <v>79</v>
      </c>
      <c r="I5" s="2"/>
      <c r="J5" t="s">
        <v>27</v>
      </c>
      <c r="K5" t="s">
        <v>53</v>
      </c>
      <c r="L5" t="s">
        <v>54</v>
      </c>
      <c r="M5">
        <v>3</v>
      </c>
    </row>
    <row r="6" spans="1:13" ht="180" x14ac:dyDescent="0.25">
      <c r="A6" t="s">
        <v>5</v>
      </c>
      <c r="B6" s="1" t="s">
        <v>275</v>
      </c>
      <c r="C6" s="1" t="s">
        <v>55</v>
      </c>
      <c r="D6">
        <v>1</v>
      </c>
      <c r="E6" s="5">
        <f>TablaIndicadoresLogro[[#This Row],[PIL]]/SUMIF(TablaIndicadoresLogro[CE], TablaIndicadoresLogro[[#This Row],[CE]], TablaIndicadoresLogro[PIL])</f>
        <v>1</v>
      </c>
      <c r="F6" s="1" t="s">
        <v>338</v>
      </c>
      <c r="G6" s="1" t="s">
        <v>340</v>
      </c>
      <c r="I6" s="2"/>
      <c r="M6">
        <v>9</v>
      </c>
    </row>
    <row r="7" spans="1:13" ht="345" x14ac:dyDescent="0.25">
      <c r="A7" t="s">
        <v>6</v>
      </c>
      <c r="B7" s="1" t="s">
        <v>276</v>
      </c>
      <c r="C7" s="1" t="s">
        <v>56</v>
      </c>
      <c r="D7">
        <v>1</v>
      </c>
      <c r="E7" s="5">
        <f>TablaIndicadoresLogro[[#This Row],[PIL]]/SUMIF(TablaIndicadoresLogro[CE], TablaIndicadoresLogro[[#This Row],[CE]], TablaIndicadoresLogro[PIL])</f>
        <v>1</v>
      </c>
      <c r="F7" s="1"/>
      <c r="I7" s="2"/>
      <c r="M7">
        <v>3</v>
      </c>
    </row>
    <row r="8" spans="1:13" ht="105" x14ac:dyDescent="0.25">
      <c r="A8" t="s">
        <v>7</v>
      </c>
      <c r="B8" s="1" t="s">
        <v>277</v>
      </c>
      <c r="C8" s="1" t="s">
        <v>57</v>
      </c>
      <c r="D8">
        <v>1</v>
      </c>
      <c r="E8" s="5">
        <f>TablaIndicadoresLogro[[#This Row],[PIL]]/SUMIF(TablaIndicadoresLogro[CE], TablaIndicadoresLogro[[#This Row],[CE]], TablaIndicadoresLogro[PIL])</f>
        <v>1</v>
      </c>
      <c r="F8" s="1"/>
      <c r="I8" s="2"/>
      <c r="M8">
        <v>10</v>
      </c>
    </row>
    <row r="9" spans="1:13" ht="135" x14ac:dyDescent="0.25">
      <c r="A9" t="s">
        <v>8</v>
      </c>
      <c r="B9" s="1" t="s">
        <v>278</v>
      </c>
      <c r="C9" s="1" t="s">
        <v>60</v>
      </c>
      <c r="D9">
        <v>1</v>
      </c>
      <c r="E9" s="5">
        <f>TablaIndicadoresLogro[[#This Row],[PIL]]/SUMIF(TablaIndicadoresLogro[CE], TablaIndicadoresLogro[[#This Row],[CE]], TablaIndicadoresLogro[PIL])</f>
        <v>1</v>
      </c>
      <c r="F9" s="1"/>
      <c r="I9" s="2"/>
      <c r="M9">
        <v>12</v>
      </c>
    </row>
    <row r="10" spans="1:13" ht="180" x14ac:dyDescent="0.25">
      <c r="A10" t="s">
        <v>9</v>
      </c>
      <c r="B10" s="1" t="s">
        <v>279</v>
      </c>
      <c r="C10" s="1" t="s">
        <v>61</v>
      </c>
      <c r="D10">
        <v>1</v>
      </c>
      <c r="E10" s="5">
        <f>TablaIndicadoresLogro[[#This Row],[PIL]]/SUMIF(TablaIndicadoresLogro[CE], TablaIndicadoresLogro[[#This Row],[CE]], TablaIndicadoresLogro[PIL])</f>
        <v>1</v>
      </c>
      <c r="F10" s="1"/>
      <c r="I10" s="2"/>
      <c r="M10">
        <v>15</v>
      </c>
    </row>
    <row r="11" spans="1:13" ht="195" x14ac:dyDescent="0.25">
      <c r="A11" t="s">
        <v>125</v>
      </c>
      <c r="B11" s="1" t="s">
        <v>280</v>
      </c>
      <c r="C11" s="1" t="s">
        <v>298</v>
      </c>
      <c r="D11">
        <v>1</v>
      </c>
      <c r="E11" s="5">
        <f>TablaIndicadoresLogro[[#This Row],[PIL]]/SUMIF(TablaIndicadoresLogro[CE], TablaIndicadoresLogro[[#This Row],[CE]], TablaIndicadoresLogro[PIL])</f>
        <v>1</v>
      </c>
      <c r="F11" s="1"/>
      <c r="I11" s="2"/>
      <c r="M11">
        <v>11</v>
      </c>
    </row>
    <row r="12" spans="1:13" ht="165" x14ac:dyDescent="0.25">
      <c r="A12" t="s">
        <v>10</v>
      </c>
      <c r="B12" s="1" t="s">
        <v>281</v>
      </c>
      <c r="C12" s="1" t="s">
        <v>62</v>
      </c>
      <c r="D12">
        <v>1</v>
      </c>
      <c r="E12" s="5">
        <f>TablaIndicadoresLogro[[#This Row],[PIL]]/SUMIF(TablaIndicadoresLogro[CE], TablaIndicadoresLogro[[#This Row],[CE]], TablaIndicadoresLogro[PIL])</f>
        <v>1</v>
      </c>
      <c r="F12" s="1"/>
      <c r="I12" s="2"/>
      <c r="M12">
        <v>5</v>
      </c>
    </row>
    <row r="13" spans="1:13" ht="315" x14ac:dyDescent="0.25">
      <c r="A13" t="s">
        <v>11</v>
      </c>
      <c r="B13" s="1" t="s">
        <v>282</v>
      </c>
      <c r="C13" s="1" t="s">
        <v>63</v>
      </c>
      <c r="D13">
        <v>1</v>
      </c>
      <c r="E13" s="5">
        <f>TablaIndicadoresLogro[[#This Row],[PIL]]/SUMIF(TablaIndicadoresLogro[CE], TablaIndicadoresLogro[[#This Row],[CE]], TablaIndicadoresLogro[PIL])</f>
        <v>1</v>
      </c>
      <c r="F13" s="1"/>
      <c r="I13" s="2"/>
      <c r="M13">
        <v>6</v>
      </c>
    </row>
    <row r="14" spans="1:13" ht="240" x14ac:dyDescent="0.25">
      <c r="A14" t="s">
        <v>126</v>
      </c>
      <c r="B14" s="1" t="s">
        <v>283</v>
      </c>
      <c r="C14" s="1" t="s">
        <v>299</v>
      </c>
      <c r="D14">
        <v>1</v>
      </c>
      <c r="E14" s="5">
        <f>TablaIndicadoresLogro[[#This Row],[PIL]]/SUMIF(TablaIndicadoresLogro[CE], TablaIndicadoresLogro[[#This Row],[CE]], TablaIndicadoresLogro[PIL])</f>
        <v>1</v>
      </c>
      <c r="F14" s="1"/>
      <c r="I14" s="2"/>
      <c r="M14">
        <v>7</v>
      </c>
    </row>
    <row r="15" spans="1:13" ht="120" x14ac:dyDescent="0.25">
      <c r="A15" t="s">
        <v>127</v>
      </c>
      <c r="B15" s="1" t="s">
        <v>284</v>
      </c>
      <c r="C15" s="1" t="s">
        <v>300</v>
      </c>
      <c r="D15">
        <v>1</v>
      </c>
      <c r="E15" s="5">
        <f>TablaIndicadoresLogro[[#This Row],[PIL]]/SUMIF(TablaIndicadoresLogro[CE], TablaIndicadoresLogro[[#This Row],[CE]], TablaIndicadoresLogro[PIL])</f>
        <v>1</v>
      </c>
      <c r="F15" s="1"/>
      <c r="I15" s="2"/>
      <c r="M15">
        <v>15</v>
      </c>
    </row>
    <row r="16" spans="1:13" ht="195" x14ac:dyDescent="0.25">
      <c r="A16" t="s">
        <v>128</v>
      </c>
      <c r="B16" s="1" t="s">
        <v>285</v>
      </c>
      <c r="C16" s="1" t="s">
        <v>301</v>
      </c>
      <c r="D16">
        <v>1</v>
      </c>
      <c r="E16" s="5">
        <f>TablaIndicadoresLogro[[#This Row],[PIL]]/SUMIF(TablaIndicadoresLogro[CE], TablaIndicadoresLogro[[#This Row],[CE]], TablaIndicadoresLogro[PIL])</f>
        <v>1</v>
      </c>
      <c r="F16" s="1"/>
      <c r="I16" s="2"/>
      <c r="M16">
        <v>6</v>
      </c>
    </row>
    <row r="17" spans="1:13" ht="240" x14ac:dyDescent="0.25">
      <c r="A17" t="s">
        <v>12</v>
      </c>
      <c r="B17" s="1" t="s">
        <v>286</v>
      </c>
      <c r="C17" s="1" t="s">
        <v>64</v>
      </c>
      <c r="D17">
        <v>1</v>
      </c>
      <c r="E17" s="5">
        <f>TablaIndicadoresLogro[[#This Row],[PIL]]/SUMIF(TablaIndicadoresLogro[CE], TablaIndicadoresLogro[[#This Row],[CE]], TablaIndicadoresLogro[PIL])</f>
        <v>1</v>
      </c>
      <c r="F17" s="1"/>
      <c r="I17" s="2"/>
      <c r="M17">
        <v>14</v>
      </c>
    </row>
    <row r="18" spans="1:13" ht="255" x14ac:dyDescent="0.25">
      <c r="A18" t="s">
        <v>13</v>
      </c>
      <c r="B18" s="1" t="s">
        <v>287</v>
      </c>
      <c r="C18" s="1" t="s">
        <v>65</v>
      </c>
      <c r="D18">
        <v>1</v>
      </c>
      <c r="E18" s="5">
        <f>TablaIndicadoresLogro[[#This Row],[PIL]]/SUMIF(TablaIndicadoresLogro[CE], TablaIndicadoresLogro[[#This Row],[CE]], TablaIndicadoresLogro[PIL])</f>
        <v>1</v>
      </c>
      <c r="F18" s="1"/>
      <c r="I18" s="2"/>
      <c r="M18">
        <v>4</v>
      </c>
    </row>
    <row r="19" spans="1:13" ht="165" x14ac:dyDescent="0.25">
      <c r="A19" t="s">
        <v>14</v>
      </c>
      <c r="B19" s="1" t="s">
        <v>288</v>
      </c>
      <c r="C19" s="1" t="s">
        <v>67</v>
      </c>
      <c r="D19">
        <v>1</v>
      </c>
      <c r="E19" s="5">
        <f>TablaIndicadoresLogro[[#This Row],[PIL]]/SUMIF(TablaIndicadoresLogro[CE], TablaIndicadoresLogro[[#This Row],[CE]], TablaIndicadoresLogro[PIL])</f>
        <v>1</v>
      </c>
      <c r="F19" s="1"/>
      <c r="I19" s="2"/>
      <c r="M19">
        <v>3</v>
      </c>
    </row>
    <row r="20" spans="1:13" ht="120" x14ac:dyDescent="0.25">
      <c r="A20" t="s">
        <v>15</v>
      </c>
      <c r="B20" s="1" t="s">
        <v>289</v>
      </c>
      <c r="C20" s="1" t="s">
        <v>68</v>
      </c>
      <c r="D20">
        <v>1</v>
      </c>
      <c r="E20" s="5">
        <f>TablaIndicadoresLogro[[#This Row],[PIL]]/SUMIF(TablaIndicadoresLogro[CE], TablaIndicadoresLogro[[#This Row],[CE]], TablaIndicadoresLogro[PIL])</f>
        <v>1</v>
      </c>
      <c r="F20" s="1"/>
      <c r="I20" s="2"/>
      <c r="M20">
        <v>8</v>
      </c>
    </row>
    <row r="21" spans="1:13" ht="165" x14ac:dyDescent="0.25">
      <c r="A21" t="s">
        <v>129</v>
      </c>
      <c r="B21" s="1" t="s">
        <v>290</v>
      </c>
      <c r="C21" s="1" t="s">
        <v>302</v>
      </c>
      <c r="D21">
        <v>1</v>
      </c>
      <c r="E21" s="5">
        <f>TablaIndicadoresLogro[[#This Row],[PIL]]/SUMIF(TablaIndicadoresLogro[CE], TablaIndicadoresLogro[[#This Row],[CE]], TablaIndicadoresLogro[PIL])</f>
        <v>1</v>
      </c>
      <c r="F21" s="1"/>
      <c r="I21" s="2"/>
      <c r="M21">
        <v>2</v>
      </c>
    </row>
    <row r="22" spans="1:13" ht="135" x14ac:dyDescent="0.25">
      <c r="A22" t="s">
        <v>16</v>
      </c>
      <c r="B22" s="1" t="s">
        <v>291</v>
      </c>
      <c r="C22" s="1" t="s">
        <v>69</v>
      </c>
      <c r="D22">
        <v>1</v>
      </c>
      <c r="E22" s="5">
        <f>TablaIndicadoresLogro[[#This Row],[PIL]]/SUMIF(TablaIndicadoresLogro[CE], TablaIndicadoresLogro[[#This Row],[CE]], TablaIndicadoresLogro[PIL])</f>
        <v>1</v>
      </c>
      <c r="F22" s="1"/>
      <c r="I22" s="2"/>
      <c r="M22">
        <v>13</v>
      </c>
    </row>
    <row r="23" spans="1:13" ht="210" x14ac:dyDescent="0.25">
      <c r="A23" t="s">
        <v>70</v>
      </c>
      <c r="B23" s="1" t="s">
        <v>292</v>
      </c>
      <c r="C23" s="1" t="s">
        <v>71</v>
      </c>
      <c r="D23">
        <v>1</v>
      </c>
      <c r="E23" s="5">
        <f>TablaIndicadoresLogro[[#This Row],[PIL]]/SUMIF(TablaIndicadoresLogro[CE], TablaIndicadoresLogro[[#This Row],[CE]], TablaIndicadoresLogro[PIL])</f>
        <v>1</v>
      </c>
      <c r="F23" s="1"/>
      <c r="I23" s="2"/>
      <c r="M23">
        <v>14</v>
      </c>
    </row>
    <row r="24" spans="1:13" ht="180" x14ac:dyDescent="0.25">
      <c r="A24" t="s">
        <v>130</v>
      </c>
      <c r="B24" s="1" t="s">
        <v>293</v>
      </c>
      <c r="C24" s="1" t="s">
        <v>303</v>
      </c>
      <c r="D24">
        <v>1</v>
      </c>
      <c r="E24" s="5">
        <f>TablaIndicadoresLogro[[#This Row],[PIL]]/SUMIF(TablaIndicadoresLogro[CE], TablaIndicadoresLogro[[#This Row],[CE]], TablaIndicadoresLogro[PIL])</f>
        <v>1</v>
      </c>
      <c r="F24" s="1"/>
      <c r="I24" s="2"/>
      <c r="M24">
        <v>4</v>
      </c>
    </row>
    <row r="25" spans="1:13" ht="90" x14ac:dyDescent="0.25">
      <c r="A25" t="s">
        <v>131</v>
      </c>
      <c r="B25" s="1" t="s">
        <v>294</v>
      </c>
      <c r="C25" s="1" t="s">
        <v>304</v>
      </c>
      <c r="D25">
        <v>1</v>
      </c>
      <c r="E25" s="5">
        <f>TablaIndicadoresLogro[[#This Row],[PIL]]/SUMIF(TablaIndicadoresLogro[CE], TablaIndicadoresLogro[[#This Row],[CE]], TablaIndicadoresLogro[PIL])</f>
        <v>1</v>
      </c>
      <c r="F25" s="1"/>
      <c r="I25" s="2"/>
      <c r="M25">
        <v>14</v>
      </c>
    </row>
    <row r="26" spans="1:13" ht="195" x14ac:dyDescent="0.25">
      <c r="A26" t="s">
        <v>295</v>
      </c>
      <c r="B26" s="1" t="s">
        <v>296</v>
      </c>
      <c r="C26" s="1" t="s">
        <v>305</v>
      </c>
      <c r="D26">
        <v>1</v>
      </c>
      <c r="E26" s="5">
        <f>TablaIndicadoresLogro[[#This Row],[PIL]]/SUMIF(TablaIndicadoresLogro[CE], TablaIndicadoresLogro[[#This Row],[CE]], TablaIndicadoresLogro[PIL])</f>
        <v>1</v>
      </c>
      <c r="F26" s="1"/>
      <c r="I26" s="2"/>
      <c r="M26">
        <v>14</v>
      </c>
    </row>
    <row r="27" spans="1:13" ht="180" x14ac:dyDescent="0.25">
      <c r="A27" t="s">
        <v>132</v>
      </c>
      <c r="B27" s="1" t="s">
        <v>297</v>
      </c>
      <c r="C27" s="1" t="s">
        <v>306</v>
      </c>
      <c r="D27">
        <v>1</v>
      </c>
      <c r="E27" s="5">
        <f>TablaIndicadoresLogro[[#This Row],[PIL]]/SUMIF(TablaIndicadoresLogro[CE], TablaIndicadoresLogro[[#This Row],[CE]], TablaIndicadoresLogro[PIL])</f>
        <v>1</v>
      </c>
      <c r="F27" s="1"/>
      <c r="I27" s="2"/>
      <c r="M27">
        <v>1</v>
      </c>
    </row>
    <row r="28" spans="1:13" ht="180" x14ac:dyDescent="0.25">
      <c r="A28" t="s">
        <v>133</v>
      </c>
      <c r="B28" s="1" t="s">
        <v>134</v>
      </c>
      <c r="C28" s="1" t="s">
        <v>307</v>
      </c>
      <c r="D28">
        <v>1</v>
      </c>
      <c r="E28" s="5">
        <f>TablaIndicadoresLogro[[#This Row],[PIL]]/SUMIF(TablaIndicadoresLogro[CE], TablaIndicadoresLogro[[#This Row],[CE]], TablaIndicadoresLogro[PIL])</f>
        <v>1</v>
      </c>
      <c r="F28" s="1"/>
      <c r="I28" s="2"/>
      <c r="M28">
        <v>12</v>
      </c>
    </row>
  </sheetData>
  <phoneticPr fontId="1" type="noConversion"/>
  <pageMargins left="0.7" right="0.7" top="0.75" bottom="0.75" header="0.3" footer="0.3"/>
  <pageSetup paperSize="256" orientation="landscape" horizontalDpi="203" verticalDpi="203"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E22E2-6E0A-4FB1-89DE-46979528AF5F}">
  <sheetPr>
    <tabColor rgb="FF00B0F0"/>
  </sheetPr>
  <dimension ref="A1:O19"/>
  <sheetViews>
    <sheetView topLeftCell="A12" workbookViewId="0">
      <selection activeCell="G37" sqref="G37"/>
    </sheetView>
  </sheetViews>
  <sheetFormatPr baseColWidth="10" defaultColWidth="11.42578125" defaultRowHeight="15" outlineLevelCol="1" x14ac:dyDescent="0.25"/>
  <cols>
    <col min="1" max="1" width="11.42578125" style="7"/>
    <col min="2" max="2" width="11.42578125" style="7" customWidth="1" outlineLevel="1"/>
    <col min="3" max="3" width="40.28515625" style="7" customWidth="1" outlineLevel="1"/>
    <col min="4" max="10" width="23.28515625" style="7" customWidth="1" outlineLevel="1"/>
    <col min="11" max="11" width="11.42578125" style="7"/>
    <col min="12" max="12" width="14.85546875" style="7" customWidth="1"/>
    <col min="13" max="13" width="13.140625" style="7" customWidth="1"/>
    <col min="14" max="14" width="11.42578125" style="7"/>
    <col min="15" max="15" width="18.42578125" style="7" customWidth="1"/>
    <col min="16" max="16384" width="11.42578125" style="7"/>
  </cols>
  <sheetData>
    <row r="1" spans="1:15" x14ac:dyDescent="0.25">
      <c r="A1" s="7" t="s">
        <v>43</v>
      </c>
      <c r="B1" s="7" t="s">
        <v>44</v>
      </c>
      <c r="C1" s="7" t="s">
        <v>46</v>
      </c>
      <c r="D1" s="7" t="s">
        <v>47</v>
      </c>
      <c r="E1" s="7" t="s">
        <v>48</v>
      </c>
      <c r="F1" s="7" t="s">
        <v>36</v>
      </c>
      <c r="G1" s="7" t="s">
        <v>49</v>
      </c>
      <c r="H1" s="7" t="s">
        <v>50</v>
      </c>
      <c r="I1" s="7" t="s">
        <v>51</v>
      </c>
      <c r="J1" s="7" t="s">
        <v>24</v>
      </c>
      <c r="K1" s="7" t="s">
        <v>30</v>
      </c>
      <c r="L1" s="7" t="s">
        <v>31</v>
      </c>
      <c r="M1" s="7" t="s">
        <v>73</v>
      </c>
      <c r="N1" s="7" t="s">
        <v>74</v>
      </c>
      <c r="O1" s="7" t="s">
        <v>75</v>
      </c>
    </row>
    <row r="2" spans="1:15" x14ac:dyDescent="0.25">
      <c r="A2" s="7" t="s">
        <v>55</v>
      </c>
      <c r="B2" s="18">
        <f>VLOOKUP(TablaActividades[[#This Row],[IL]],TablaIndicadoresLogro[[#Data],[IL]:[SA]],2,1)</f>
        <v>1</v>
      </c>
      <c r="C2" s="18" t="str">
        <f>VLOOKUP(TablaActividades[[#This Row],[IL]],TablaIndicadoresLogro[[#Data],[IL]:[SA]],4,1)</f>
        <v>jgfjghvjkh</v>
      </c>
      <c r="D2" s="18" t="str">
        <f>VLOOKUP(TablaActividades[[#This Row],[IL]],TablaIndicadoresLogro[[#Data],[IL]:[SA]],5,1)</f>
        <v>rt</v>
      </c>
      <c r="E2" s="18">
        <f>VLOOKUP(TablaActividades[[#This Row],[IL]],TablaIndicadoresLogro[[#Data],[IL]:[SA]],6,1)</f>
        <v>0</v>
      </c>
      <c r="F2" s="18">
        <f>VLOOKUP(TablaActividades[[#This Row],[IL]],TablaIndicadoresLogro[[#Data],[IL]:[SA]],7,1)</f>
        <v>0</v>
      </c>
      <c r="G2" s="18">
        <f>VLOOKUP(TablaActividades[[#This Row],[IL]],TablaIndicadoresLogro[[#Data],[IL]:[SA]],8,1)</f>
        <v>0</v>
      </c>
      <c r="H2" s="18">
        <f>VLOOKUP(TablaActividades[[#This Row],[IL]],TablaIndicadoresLogro[[#Data],[IL]:[SA]],9,1)</f>
        <v>0</v>
      </c>
      <c r="I2" s="18">
        <f>VLOOKUP(TablaActividades[[#This Row],[IL]],TablaIndicadoresLogro[[#Data],[IL]:[SA]],10,1)</f>
        <v>0</v>
      </c>
      <c r="J2" s="18">
        <f>VLOOKUP(TablaActividades[[#This Row],[IL]],TablaIndicadoresLogro[[#Data],[IL]:[SA]],11,1)</f>
        <v>9</v>
      </c>
      <c r="K2" s="7" t="s">
        <v>76</v>
      </c>
      <c r="L2" s="7" t="s">
        <v>428</v>
      </c>
      <c r="M2" s="7">
        <v>1</v>
      </c>
      <c r="N2" s="19">
        <f>TablaActividades[[#This Row],[PA]]/SUMIF(TablaActividades[IL], TablaActividades[[#This Row],[IL]], TablaActividades[PA])</f>
        <v>0.2</v>
      </c>
      <c r="O2" s="18">
        <f>TablaActividades[[#This Row],[PIL]]*TablaActividades[[#This Row],[PA%]]</f>
        <v>0.2</v>
      </c>
    </row>
    <row r="3" spans="1:15" x14ac:dyDescent="0.25">
      <c r="A3" s="7" t="s">
        <v>56</v>
      </c>
      <c r="B3" s="18">
        <f>VLOOKUP(TablaActividades[[#This Row],[IL]],TablaIndicadoresLogro[[#Data],[IL]:[SA]],2,1)</f>
        <v>1</v>
      </c>
      <c r="C3" s="18">
        <f>VLOOKUP(TablaActividades[[#This Row],[IL]],TablaIndicadoresLogro[[#Data],[IL]:[SA]],4,1)</f>
        <v>0</v>
      </c>
      <c r="D3" s="18">
        <f>VLOOKUP(TablaActividades[[#This Row],[IL]],TablaIndicadoresLogro[[#Data],[IL]:[SA]],5,1)</f>
        <v>0</v>
      </c>
      <c r="E3" s="18">
        <f>VLOOKUP(TablaActividades[[#This Row],[IL]],TablaIndicadoresLogro[[#Data],[IL]:[SA]],6,1)</f>
        <v>0</v>
      </c>
      <c r="F3" s="18">
        <f>VLOOKUP(TablaActividades[[#This Row],[IL]],TablaIndicadoresLogro[[#Data],[IL]:[SA]],7,1)</f>
        <v>0</v>
      </c>
      <c r="G3" s="18">
        <f>VLOOKUP(TablaActividades[[#This Row],[IL]],TablaIndicadoresLogro[[#Data],[IL]:[SA]],8,1)</f>
        <v>0</v>
      </c>
      <c r="H3" s="18">
        <f>VLOOKUP(TablaActividades[[#This Row],[IL]],TablaIndicadoresLogro[[#Data],[IL]:[SA]],9,1)</f>
        <v>0</v>
      </c>
      <c r="I3" s="18">
        <f>VLOOKUP(TablaActividades[[#This Row],[IL]],TablaIndicadoresLogro[[#Data],[IL]:[SA]],10,1)</f>
        <v>0</v>
      </c>
      <c r="J3" s="18">
        <f>VLOOKUP(TablaActividades[[#This Row],[IL]],TablaIndicadoresLogro[[#Data],[IL]:[SA]],11,1)</f>
        <v>3</v>
      </c>
      <c r="K3" s="7" t="s">
        <v>449</v>
      </c>
      <c r="L3" s="7" t="s">
        <v>429</v>
      </c>
      <c r="M3" s="7">
        <v>2</v>
      </c>
      <c r="N3" s="19">
        <f>TablaActividades[[#This Row],[PA]]/SUMIF(TablaActividades[IL], TablaActividades[[#This Row],[IL]], TablaActividades[PA])</f>
        <v>1</v>
      </c>
      <c r="O3" s="18">
        <f>TablaActividades[[#This Row],[PIL]]*TablaActividades[[#This Row],[PA%]]</f>
        <v>1</v>
      </c>
    </row>
    <row r="4" spans="1:15" x14ac:dyDescent="0.25">
      <c r="A4" s="7" t="s">
        <v>57</v>
      </c>
      <c r="B4" s="18">
        <f>VLOOKUP(TablaActividades[[#This Row],[IL]],TablaIndicadoresLogro[[#Data],[IL]:[SA]],2,1)</f>
        <v>1</v>
      </c>
      <c r="C4" s="18">
        <f>VLOOKUP(TablaActividades[[#This Row],[IL]],TablaIndicadoresLogro[[#Data],[IL]:[SA]],4,1)</f>
        <v>0</v>
      </c>
      <c r="D4" s="18">
        <f>VLOOKUP(TablaActividades[[#This Row],[IL]],TablaIndicadoresLogro[[#Data],[IL]:[SA]],5,1)</f>
        <v>0</v>
      </c>
      <c r="E4" s="18">
        <f>VLOOKUP(TablaActividades[[#This Row],[IL]],TablaIndicadoresLogro[[#Data],[IL]:[SA]],6,1)</f>
        <v>0</v>
      </c>
      <c r="F4" s="18">
        <f>VLOOKUP(TablaActividades[[#This Row],[IL]],TablaIndicadoresLogro[[#Data],[IL]:[SA]],7,1)</f>
        <v>0</v>
      </c>
      <c r="G4" s="18">
        <f>VLOOKUP(TablaActividades[[#This Row],[IL]],TablaIndicadoresLogro[[#Data],[IL]:[SA]],8,1)</f>
        <v>0</v>
      </c>
      <c r="H4" s="18">
        <f>VLOOKUP(TablaActividades[[#This Row],[IL]],TablaIndicadoresLogro[[#Data],[IL]:[SA]],9,1)</f>
        <v>0</v>
      </c>
      <c r="I4" s="18">
        <f>VLOOKUP(TablaActividades[[#This Row],[IL]],TablaIndicadoresLogro[[#Data],[IL]:[SA]],10,1)</f>
        <v>0</v>
      </c>
      <c r="J4" s="18">
        <f>VLOOKUP(TablaActividades[[#This Row],[IL]],TablaIndicadoresLogro[[#Data],[IL]:[SA]],11,1)</f>
        <v>10</v>
      </c>
      <c r="K4" s="7" t="s">
        <v>450</v>
      </c>
      <c r="L4" s="7" t="s">
        <v>430</v>
      </c>
      <c r="M4" s="7">
        <v>1</v>
      </c>
      <c r="N4" s="19">
        <f>TablaActividades[[#This Row],[PA]]/SUMIF(TablaActividades[IL], TablaActividades[[#This Row],[IL]], TablaActividades[PA])</f>
        <v>1</v>
      </c>
      <c r="O4" s="18">
        <f>TablaActividades[[#This Row],[PIL]]*TablaActividades[[#This Row],[PA%]]</f>
        <v>1</v>
      </c>
    </row>
    <row r="5" spans="1:15" x14ac:dyDescent="0.25">
      <c r="A5" s="7" t="s">
        <v>61</v>
      </c>
      <c r="B5" s="18">
        <f>VLOOKUP(TablaActividades[[#This Row],[IL]],TablaIndicadoresLogro[[#Data],[IL]:[SA]],2,1)</f>
        <v>1</v>
      </c>
      <c r="C5" s="18">
        <f>VLOOKUP(TablaActividades[[#This Row],[IL]],TablaIndicadoresLogro[[#Data],[IL]:[SA]],4,1)</f>
        <v>0</v>
      </c>
      <c r="D5" s="18">
        <f>VLOOKUP(TablaActividades[[#This Row],[IL]],TablaIndicadoresLogro[[#Data],[IL]:[SA]],5,1)</f>
        <v>0</v>
      </c>
      <c r="E5" s="18">
        <f>VLOOKUP(TablaActividades[[#This Row],[IL]],TablaIndicadoresLogro[[#Data],[IL]:[SA]],6,1)</f>
        <v>0</v>
      </c>
      <c r="F5" s="18">
        <f>VLOOKUP(TablaActividades[[#This Row],[IL]],TablaIndicadoresLogro[[#Data],[IL]:[SA]],7,1)</f>
        <v>0</v>
      </c>
      <c r="G5" s="18">
        <f>VLOOKUP(TablaActividades[[#This Row],[IL]],TablaIndicadoresLogro[[#Data],[IL]:[SA]],8,1)</f>
        <v>0</v>
      </c>
      <c r="H5" s="18">
        <f>VLOOKUP(TablaActividades[[#This Row],[IL]],TablaIndicadoresLogro[[#Data],[IL]:[SA]],9,1)</f>
        <v>0</v>
      </c>
      <c r="I5" s="18">
        <f>VLOOKUP(TablaActividades[[#This Row],[IL]],TablaIndicadoresLogro[[#Data],[IL]:[SA]],10,1)</f>
        <v>0</v>
      </c>
      <c r="J5" s="18">
        <f>VLOOKUP(TablaActividades[[#This Row],[IL]],TablaIndicadoresLogro[[#Data],[IL]:[SA]],11,1)</f>
        <v>15</v>
      </c>
      <c r="K5" s="7" t="s">
        <v>451</v>
      </c>
      <c r="L5" s="7" t="s">
        <v>431</v>
      </c>
      <c r="M5" s="7">
        <v>3</v>
      </c>
      <c r="N5" s="19">
        <f>TablaActividades[[#This Row],[PA]]/SUMIF(TablaActividades[IL], TablaActividades[[#This Row],[IL]], TablaActividades[PA])</f>
        <v>0.75</v>
      </c>
      <c r="O5" s="18">
        <f>TablaActividades[[#This Row],[PIL]]*TablaActividades[[#This Row],[PA%]]</f>
        <v>0.75</v>
      </c>
    </row>
    <row r="6" spans="1:15" x14ac:dyDescent="0.25">
      <c r="A6" s="7" t="s">
        <v>61</v>
      </c>
      <c r="B6" s="18">
        <f>VLOOKUP(TablaActividades[[#This Row],[IL]],TablaIndicadoresLogro[[#Data],[IL]:[SA]],2,1)</f>
        <v>1</v>
      </c>
      <c r="C6" s="18">
        <f>VLOOKUP(TablaActividades[[#This Row],[IL]],TablaIndicadoresLogro[[#Data],[IL]:[SA]],4,1)</f>
        <v>0</v>
      </c>
      <c r="D6" s="18">
        <f>VLOOKUP(TablaActividades[[#This Row],[IL]],TablaIndicadoresLogro[[#Data],[IL]:[SA]],5,1)</f>
        <v>0</v>
      </c>
      <c r="E6" s="18">
        <f>VLOOKUP(TablaActividades[[#This Row],[IL]],TablaIndicadoresLogro[[#Data],[IL]:[SA]],6,1)</f>
        <v>0</v>
      </c>
      <c r="F6" s="18">
        <f>VLOOKUP(TablaActividades[[#This Row],[IL]],TablaIndicadoresLogro[[#Data],[IL]:[SA]],7,1)</f>
        <v>0</v>
      </c>
      <c r="G6" s="18">
        <f>VLOOKUP(TablaActividades[[#This Row],[IL]],TablaIndicadoresLogro[[#Data],[IL]:[SA]],8,1)</f>
        <v>0</v>
      </c>
      <c r="H6" s="18">
        <f>VLOOKUP(TablaActividades[[#This Row],[IL]],TablaIndicadoresLogro[[#Data],[IL]:[SA]],9,1)</f>
        <v>0</v>
      </c>
      <c r="I6" s="18">
        <f>VLOOKUP(TablaActividades[[#This Row],[IL]],TablaIndicadoresLogro[[#Data],[IL]:[SA]],10,1)</f>
        <v>0</v>
      </c>
      <c r="J6" s="18">
        <f>VLOOKUP(TablaActividades[[#This Row],[IL]],TablaIndicadoresLogro[[#Data],[IL]:[SA]],11,1)</f>
        <v>15</v>
      </c>
      <c r="K6" s="7" t="s">
        <v>451</v>
      </c>
      <c r="L6" s="7" t="s">
        <v>432</v>
      </c>
      <c r="M6" s="7">
        <v>1</v>
      </c>
      <c r="N6" s="19">
        <f>TablaActividades[[#This Row],[PA]]/SUMIF(TablaActividades[IL], TablaActividades[[#This Row],[IL]], TablaActividades[PA])</f>
        <v>0.25</v>
      </c>
      <c r="O6" s="18">
        <f>TablaActividades[[#This Row],[PIL]]*TablaActividades[[#This Row],[PA%]]</f>
        <v>0.25</v>
      </c>
    </row>
    <row r="7" spans="1:15" x14ac:dyDescent="0.25">
      <c r="A7" s="7" t="s">
        <v>306</v>
      </c>
      <c r="B7" s="18">
        <f>VLOOKUP(TablaActividades[[#This Row],[IL]],TablaIndicadoresLogro[[#Data],[IL]:[SA]],2,1)</f>
        <v>1</v>
      </c>
      <c r="C7" s="18">
        <f>VLOOKUP(TablaActividades[[#This Row],[IL]],TablaIndicadoresLogro[[#Data],[IL]:[SA]],4,1)</f>
        <v>0</v>
      </c>
      <c r="D7" s="18">
        <f>VLOOKUP(TablaActividades[[#This Row],[IL]],TablaIndicadoresLogro[[#Data],[IL]:[SA]],5,1)</f>
        <v>0</v>
      </c>
      <c r="E7" s="18">
        <f>VLOOKUP(TablaActividades[[#This Row],[IL]],TablaIndicadoresLogro[[#Data],[IL]:[SA]],6,1)</f>
        <v>0</v>
      </c>
      <c r="F7" s="18">
        <f>VLOOKUP(TablaActividades[[#This Row],[IL]],TablaIndicadoresLogro[[#Data],[IL]:[SA]],7,1)</f>
        <v>0</v>
      </c>
      <c r="G7" s="18">
        <f>VLOOKUP(TablaActividades[[#This Row],[IL]],TablaIndicadoresLogro[[#Data],[IL]:[SA]],8,1)</f>
        <v>0</v>
      </c>
      <c r="H7" s="18">
        <f>VLOOKUP(TablaActividades[[#This Row],[IL]],TablaIndicadoresLogro[[#Data],[IL]:[SA]],9,1)</f>
        <v>0</v>
      </c>
      <c r="I7" s="18">
        <f>VLOOKUP(TablaActividades[[#This Row],[IL]],TablaIndicadoresLogro[[#Data],[IL]:[SA]],10,1)</f>
        <v>0</v>
      </c>
      <c r="J7" s="18">
        <f>VLOOKUP(TablaActividades[[#This Row],[IL]],TablaIndicadoresLogro[[#Data],[IL]:[SA]],11,1)</f>
        <v>1</v>
      </c>
      <c r="K7" s="7" t="s">
        <v>452</v>
      </c>
      <c r="L7" s="7" t="s">
        <v>433</v>
      </c>
      <c r="M7" s="7">
        <v>3</v>
      </c>
      <c r="N7" s="19">
        <f>TablaActividades[[#This Row],[PA]]/SUMIF(TablaActividades[IL], TablaActividades[[#This Row],[IL]], TablaActividades[PA])</f>
        <v>1</v>
      </c>
      <c r="O7" s="18">
        <f>TablaActividades[[#This Row],[PIL]]*TablaActividades[[#This Row],[PA%]]</f>
        <v>1</v>
      </c>
    </row>
    <row r="8" spans="1:15" x14ac:dyDescent="0.25">
      <c r="A8" s="7" t="s">
        <v>302</v>
      </c>
      <c r="B8" s="18">
        <f>VLOOKUP(TablaActividades[[#This Row],[IL]],TablaIndicadoresLogro[[#Data],[IL]:[SA]],2,1)</f>
        <v>1</v>
      </c>
      <c r="C8" s="18">
        <f>VLOOKUP(TablaActividades[[#This Row],[IL]],TablaIndicadoresLogro[[#Data],[IL]:[SA]],4,1)</f>
        <v>0</v>
      </c>
      <c r="D8" s="18">
        <f>VLOOKUP(TablaActividades[[#This Row],[IL]],TablaIndicadoresLogro[[#Data],[IL]:[SA]],5,1)</f>
        <v>0</v>
      </c>
      <c r="E8" s="18">
        <f>VLOOKUP(TablaActividades[[#This Row],[IL]],TablaIndicadoresLogro[[#Data],[IL]:[SA]],6,1)</f>
        <v>0</v>
      </c>
      <c r="F8" s="18">
        <f>VLOOKUP(TablaActividades[[#This Row],[IL]],TablaIndicadoresLogro[[#Data],[IL]:[SA]],7,1)</f>
        <v>0</v>
      </c>
      <c r="G8" s="18">
        <f>VLOOKUP(TablaActividades[[#This Row],[IL]],TablaIndicadoresLogro[[#Data],[IL]:[SA]],8,1)</f>
        <v>0</v>
      </c>
      <c r="H8" s="18">
        <f>VLOOKUP(TablaActividades[[#This Row],[IL]],TablaIndicadoresLogro[[#Data],[IL]:[SA]],9,1)</f>
        <v>0</v>
      </c>
      <c r="I8" s="18">
        <f>VLOOKUP(TablaActividades[[#This Row],[IL]],TablaIndicadoresLogro[[#Data],[IL]:[SA]],10,1)</f>
        <v>0</v>
      </c>
      <c r="J8" s="18">
        <f>VLOOKUP(TablaActividades[[#This Row],[IL]],TablaIndicadoresLogro[[#Data],[IL]:[SA]],11,1)</f>
        <v>2</v>
      </c>
      <c r="K8" s="7" t="s">
        <v>453</v>
      </c>
      <c r="L8" s="7" t="s">
        <v>434</v>
      </c>
      <c r="M8" s="7">
        <v>1</v>
      </c>
      <c r="N8" s="19">
        <f>TablaActividades[[#This Row],[PA]]/SUMIF(TablaActividades[IL], TablaActividades[[#This Row],[IL]], TablaActividades[PA])</f>
        <v>1</v>
      </c>
      <c r="O8" s="18">
        <f>TablaActividades[[#This Row],[PIL]]*TablaActividades[[#This Row],[PA%]]</f>
        <v>1</v>
      </c>
    </row>
    <row r="9" spans="1:15" x14ac:dyDescent="0.25">
      <c r="A9" s="7" t="s">
        <v>303</v>
      </c>
      <c r="B9" s="18">
        <f>VLOOKUP(TablaActividades[[#This Row],[IL]],TablaIndicadoresLogro[[#Data],[IL]:[SA]],2,1)</f>
        <v>1</v>
      </c>
      <c r="C9" s="18">
        <f>VLOOKUP(TablaActividades[[#This Row],[IL]],TablaIndicadoresLogro[[#Data],[IL]:[SA]],4,1)</f>
        <v>0</v>
      </c>
      <c r="D9" s="18">
        <f>VLOOKUP(TablaActividades[[#This Row],[IL]],TablaIndicadoresLogro[[#Data],[IL]:[SA]],5,1)</f>
        <v>0</v>
      </c>
      <c r="E9" s="18">
        <f>VLOOKUP(TablaActividades[[#This Row],[IL]],TablaIndicadoresLogro[[#Data],[IL]:[SA]],6,1)</f>
        <v>0</v>
      </c>
      <c r="F9" s="18">
        <f>VLOOKUP(TablaActividades[[#This Row],[IL]],TablaIndicadoresLogro[[#Data],[IL]:[SA]],7,1)</f>
        <v>0</v>
      </c>
      <c r="G9" s="18">
        <f>VLOOKUP(TablaActividades[[#This Row],[IL]],TablaIndicadoresLogro[[#Data],[IL]:[SA]],8,1)</f>
        <v>0</v>
      </c>
      <c r="H9" s="18">
        <f>VLOOKUP(TablaActividades[[#This Row],[IL]],TablaIndicadoresLogro[[#Data],[IL]:[SA]],9,1)</f>
        <v>0</v>
      </c>
      <c r="I9" s="18">
        <f>VLOOKUP(TablaActividades[[#This Row],[IL]],TablaIndicadoresLogro[[#Data],[IL]:[SA]],10,1)</f>
        <v>0</v>
      </c>
      <c r="J9" s="18">
        <f>VLOOKUP(TablaActividades[[#This Row],[IL]],TablaIndicadoresLogro[[#Data],[IL]:[SA]],11,1)</f>
        <v>4</v>
      </c>
      <c r="K9" s="7" t="s">
        <v>454</v>
      </c>
      <c r="L9" s="7" t="s">
        <v>435</v>
      </c>
      <c r="M9" s="7">
        <v>4</v>
      </c>
      <c r="N9" s="19">
        <f>TablaActividades[[#This Row],[PA]]/SUMIF(TablaActividades[IL], TablaActividades[[#This Row],[IL]], TablaActividades[PA])</f>
        <v>1</v>
      </c>
      <c r="O9" s="18">
        <f>TablaActividades[[#This Row],[PIL]]*TablaActividades[[#This Row],[PA%]]</f>
        <v>1</v>
      </c>
    </row>
    <row r="10" spans="1:15" x14ac:dyDescent="0.25">
      <c r="A10" s="7" t="s">
        <v>62</v>
      </c>
      <c r="B10" s="18">
        <f>VLOOKUP(TablaActividades[[#This Row],[IL]],TablaIndicadoresLogro[[#Data],[IL]:[SA]],2,1)</f>
        <v>1</v>
      </c>
      <c r="C10" s="18">
        <f>VLOOKUP(TablaActividades[[#This Row],[IL]],TablaIndicadoresLogro[[#Data],[IL]:[SA]],4,1)</f>
        <v>0</v>
      </c>
      <c r="D10" s="18">
        <f>VLOOKUP(TablaActividades[[#This Row],[IL]],TablaIndicadoresLogro[[#Data],[IL]:[SA]],5,1)</f>
        <v>0</v>
      </c>
      <c r="E10" s="18">
        <f>VLOOKUP(TablaActividades[[#This Row],[IL]],TablaIndicadoresLogro[[#Data],[IL]:[SA]],6,1)</f>
        <v>0</v>
      </c>
      <c r="F10" s="18">
        <f>VLOOKUP(TablaActividades[[#This Row],[IL]],TablaIndicadoresLogro[[#Data],[IL]:[SA]],7,1)</f>
        <v>0</v>
      </c>
      <c r="G10" s="18">
        <f>VLOOKUP(TablaActividades[[#This Row],[IL]],TablaIndicadoresLogro[[#Data],[IL]:[SA]],8,1)</f>
        <v>0</v>
      </c>
      <c r="H10" s="18">
        <f>VLOOKUP(TablaActividades[[#This Row],[IL]],TablaIndicadoresLogro[[#Data],[IL]:[SA]],9,1)</f>
        <v>0</v>
      </c>
      <c r="I10" s="18">
        <f>VLOOKUP(TablaActividades[[#This Row],[IL]],TablaIndicadoresLogro[[#Data],[IL]:[SA]],10,1)</f>
        <v>0</v>
      </c>
      <c r="J10" s="18">
        <f>VLOOKUP(TablaActividades[[#This Row],[IL]],TablaIndicadoresLogro[[#Data],[IL]:[SA]],11,1)</f>
        <v>5</v>
      </c>
      <c r="K10" s="7" t="s">
        <v>455</v>
      </c>
      <c r="L10" s="7" t="s">
        <v>436</v>
      </c>
      <c r="M10" s="7">
        <v>1</v>
      </c>
      <c r="N10" s="19">
        <f>TablaActividades[[#This Row],[PA]]/SUMIF(TablaActividades[IL], TablaActividades[[#This Row],[IL]], TablaActividades[PA])</f>
        <v>1</v>
      </c>
      <c r="O10" s="18">
        <f>TablaActividades[[#This Row],[PIL]]*TablaActividades[[#This Row],[PA%]]</f>
        <v>1</v>
      </c>
    </row>
    <row r="11" spans="1:15" x14ac:dyDescent="0.25">
      <c r="A11" s="7" t="s">
        <v>63</v>
      </c>
      <c r="B11" s="18">
        <f>VLOOKUP(TablaActividades[[#This Row],[IL]],TablaIndicadoresLogro[[#Data],[IL]:[SA]],2,1)</f>
        <v>1</v>
      </c>
      <c r="C11" s="18">
        <f>VLOOKUP(TablaActividades[[#This Row],[IL]],TablaIndicadoresLogro[[#Data],[IL]:[SA]],4,1)</f>
        <v>0</v>
      </c>
      <c r="D11" s="18">
        <f>VLOOKUP(TablaActividades[[#This Row],[IL]],TablaIndicadoresLogro[[#Data],[IL]:[SA]],5,1)</f>
        <v>0</v>
      </c>
      <c r="E11" s="18">
        <f>VLOOKUP(TablaActividades[[#This Row],[IL]],TablaIndicadoresLogro[[#Data],[IL]:[SA]],6,1)</f>
        <v>0</v>
      </c>
      <c r="F11" s="18">
        <f>VLOOKUP(TablaActividades[[#This Row],[IL]],TablaIndicadoresLogro[[#Data],[IL]:[SA]],7,1)</f>
        <v>0</v>
      </c>
      <c r="G11" s="18">
        <f>VLOOKUP(TablaActividades[[#This Row],[IL]],TablaIndicadoresLogro[[#Data],[IL]:[SA]],8,1)</f>
        <v>0</v>
      </c>
      <c r="H11" s="18">
        <f>VLOOKUP(TablaActividades[[#This Row],[IL]],TablaIndicadoresLogro[[#Data],[IL]:[SA]],9,1)</f>
        <v>0</v>
      </c>
      <c r="I11" s="18">
        <f>VLOOKUP(TablaActividades[[#This Row],[IL]],TablaIndicadoresLogro[[#Data],[IL]:[SA]],10,1)</f>
        <v>0</v>
      </c>
      <c r="J11" s="18">
        <f>VLOOKUP(TablaActividades[[#This Row],[IL]],TablaIndicadoresLogro[[#Data],[IL]:[SA]],11,1)</f>
        <v>6</v>
      </c>
      <c r="K11" s="7" t="s">
        <v>456</v>
      </c>
      <c r="L11" s="7" t="s">
        <v>437</v>
      </c>
      <c r="M11" s="7">
        <v>5</v>
      </c>
      <c r="N11" s="19">
        <f>TablaActividades[[#This Row],[PA]]/SUMIF(TablaActividades[IL], TablaActividades[[#This Row],[IL]], TablaActividades[PA])</f>
        <v>1</v>
      </c>
      <c r="O11" s="18">
        <f>TablaActividades[[#This Row],[PIL]]*TablaActividades[[#This Row],[PA%]]</f>
        <v>1</v>
      </c>
    </row>
    <row r="12" spans="1:15" x14ac:dyDescent="0.25">
      <c r="A12" s="7" t="s">
        <v>299</v>
      </c>
      <c r="B12" s="18">
        <f>VLOOKUP(TablaActividades[[#This Row],[IL]],TablaIndicadoresLogro[[#Data],[IL]:[SA]],2,1)</f>
        <v>1</v>
      </c>
      <c r="C12" s="18">
        <f>VLOOKUP(TablaActividades[[#This Row],[IL]],TablaIndicadoresLogro[[#Data],[IL]:[SA]],4,1)</f>
        <v>0</v>
      </c>
      <c r="D12" s="18">
        <f>VLOOKUP(TablaActividades[[#This Row],[IL]],TablaIndicadoresLogro[[#Data],[IL]:[SA]],5,1)</f>
        <v>0</v>
      </c>
      <c r="E12" s="18">
        <f>VLOOKUP(TablaActividades[[#This Row],[IL]],TablaIndicadoresLogro[[#Data],[IL]:[SA]],6,1)</f>
        <v>0</v>
      </c>
      <c r="F12" s="18">
        <f>VLOOKUP(TablaActividades[[#This Row],[IL]],TablaIndicadoresLogro[[#Data],[IL]:[SA]],7,1)</f>
        <v>0</v>
      </c>
      <c r="G12" s="18">
        <f>VLOOKUP(TablaActividades[[#This Row],[IL]],TablaIndicadoresLogro[[#Data],[IL]:[SA]],8,1)</f>
        <v>0</v>
      </c>
      <c r="H12" s="18">
        <f>VLOOKUP(TablaActividades[[#This Row],[IL]],TablaIndicadoresLogro[[#Data],[IL]:[SA]],9,1)</f>
        <v>0</v>
      </c>
      <c r="I12" s="18">
        <f>VLOOKUP(TablaActividades[[#This Row],[IL]],TablaIndicadoresLogro[[#Data],[IL]:[SA]],10,1)</f>
        <v>0</v>
      </c>
      <c r="J12" s="18">
        <f>VLOOKUP(TablaActividades[[#This Row],[IL]],TablaIndicadoresLogro[[#Data],[IL]:[SA]],11,1)</f>
        <v>7</v>
      </c>
      <c r="K12" s="7" t="s">
        <v>457</v>
      </c>
      <c r="L12" s="7" t="s">
        <v>438</v>
      </c>
      <c r="M12" s="7">
        <v>1</v>
      </c>
      <c r="N12" s="19">
        <f>TablaActividades[[#This Row],[PA]]/SUMIF(TablaActividades[IL], TablaActividades[[#This Row],[IL]], TablaActividades[PA])</f>
        <v>1</v>
      </c>
      <c r="O12" s="18">
        <f>TablaActividades[[#This Row],[PIL]]*TablaActividades[[#This Row],[PA%]]</f>
        <v>1</v>
      </c>
    </row>
    <row r="13" spans="1:15" x14ac:dyDescent="0.25">
      <c r="A13" s="7" t="s">
        <v>68</v>
      </c>
      <c r="B13" s="18">
        <f>VLOOKUP(TablaActividades[[#This Row],[IL]],TablaIndicadoresLogro[[#Data],[IL]:[SA]],2,1)</f>
        <v>1</v>
      </c>
      <c r="C13" s="18">
        <f>VLOOKUP(TablaActividades[[#This Row],[IL]],TablaIndicadoresLogro[[#Data],[IL]:[SA]],4,1)</f>
        <v>0</v>
      </c>
      <c r="D13" s="18">
        <f>VLOOKUP(TablaActividades[[#This Row],[IL]],TablaIndicadoresLogro[[#Data],[IL]:[SA]],5,1)</f>
        <v>0</v>
      </c>
      <c r="E13" s="18">
        <f>VLOOKUP(TablaActividades[[#This Row],[IL]],TablaIndicadoresLogro[[#Data],[IL]:[SA]],6,1)</f>
        <v>0</v>
      </c>
      <c r="F13" s="18">
        <f>VLOOKUP(TablaActividades[[#This Row],[IL]],TablaIndicadoresLogro[[#Data],[IL]:[SA]],7,1)</f>
        <v>0</v>
      </c>
      <c r="G13" s="18">
        <f>VLOOKUP(TablaActividades[[#This Row],[IL]],TablaIndicadoresLogro[[#Data],[IL]:[SA]],8,1)</f>
        <v>0</v>
      </c>
      <c r="H13" s="18">
        <f>VLOOKUP(TablaActividades[[#This Row],[IL]],TablaIndicadoresLogro[[#Data],[IL]:[SA]],9,1)</f>
        <v>0</v>
      </c>
      <c r="I13" s="18">
        <f>VLOOKUP(TablaActividades[[#This Row],[IL]],TablaIndicadoresLogro[[#Data],[IL]:[SA]],10,1)</f>
        <v>0</v>
      </c>
      <c r="J13" s="18">
        <f>VLOOKUP(TablaActividades[[#This Row],[IL]],TablaIndicadoresLogro[[#Data],[IL]:[SA]],11,1)</f>
        <v>8</v>
      </c>
      <c r="K13" s="7" t="s">
        <v>458</v>
      </c>
      <c r="L13" s="7" t="s">
        <v>439</v>
      </c>
      <c r="M13" s="7">
        <v>4</v>
      </c>
      <c r="N13" s="19">
        <f>TablaActividades[[#This Row],[PA]]/SUMIF(TablaActividades[IL], TablaActividades[[#This Row],[IL]], TablaActividades[PA])</f>
        <v>1</v>
      </c>
      <c r="O13" s="18">
        <f>TablaActividades[[#This Row],[PIL]]*TablaActividades[[#This Row],[PA%]]</f>
        <v>1</v>
      </c>
    </row>
    <row r="14" spans="1:15" x14ac:dyDescent="0.25">
      <c r="A14" s="7" t="s">
        <v>55</v>
      </c>
      <c r="B14" s="18">
        <f>VLOOKUP(TablaActividades[[#This Row],[IL]],TablaIndicadoresLogro[[#Data],[IL]:[SA]],2,1)</f>
        <v>1</v>
      </c>
      <c r="C14" s="18" t="str">
        <f>VLOOKUP(TablaActividades[[#This Row],[IL]],TablaIndicadoresLogro[[#Data],[IL]:[SA]],4,1)</f>
        <v>jgfjghvjkh</v>
      </c>
      <c r="D14" s="18" t="str">
        <f>VLOOKUP(TablaActividades[[#This Row],[IL]],TablaIndicadoresLogro[[#Data],[IL]:[SA]],5,1)</f>
        <v>rt</v>
      </c>
      <c r="E14" s="18">
        <f>VLOOKUP(TablaActividades[[#This Row],[IL]],TablaIndicadoresLogro[[#Data],[IL]:[SA]],6,1)</f>
        <v>0</v>
      </c>
      <c r="F14" s="18">
        <f>VLOOKUP(TablaActividades[[#This Row],[IL]],TablaIndicadoresLogro[[#Data],[IL]:[SA]],7,1)</f>
        <v>0</v>
      </c>
      <c r="G14" s="18">
        <f>VLOOKUP(TablaActividades[[#This Row],[IL]],TablaIndicadoresLogro[[#Data],[IL]:[SA]],8,1)</f>
        <v>0</v>
      </c>
      <c r="H14" s="18">
        <f>VLOOKUP(TablaActividades[[#This Row],[IL]],TablaIndicadoresLogro[[#Data],[IL]:[SA]],9,1)</f>
        <v>0</v>
      </c>
      <c r="I14" s="18">
        <f>VLOOKUP(TablaActividades[[#This Row],[IL]],TablaIndicadoresLogro[[#Data],[IL]:[SA]],10,1)</f>
        <v>0</v>
      </c>
      <c r="J14" s="18">
        <f>VLOOKUP(TablaActividades[[#This Row],[IL]],TablaIndicadoresLogro[[#Data],[IL]:[SA]],11,1)</f>
        <v>9</v>
      </c>
      <c r="K14" s="7" t="s">
        <v>76</v>
      </c>
      <c r="L14" s="7" t="s">
        <v>440</v>
      </c>
      <c r="M14" s="7">
        <v>4</v>
      </c>
      <c r="N14" s="19">
        <f>TablaActividades[[#This Row],[PA]]/SUMIF(TablaActividades[IL], TablaActividades[[#This Row],[IL]], TablaActividades[PA])</f>
        <v>0.8</v>
      </c>
      <c r="O14" s="18">
        <f>TablaActividades[[#This Row],[PIL]]*TablaActividades[[#This Row],[PA%]]</f>
        <v>0.8</v>
      </c>
    </row>
    <row r="15" spans="1:15" x14ac:dyDescent="0.25">
      <c r="A15" s="7" t="s">
        <v>298</v>
      </c>
      <c r="B15" s="18">
        <f>VLOOKUP(TablaActividades[[#This Row],[IL]],TablaIndicadoresLogro[[#Data],[IL]:[SA]],2,1)</f>
        <v>1</v>
      </c>
      <c r="C15" s="18">
        <f>VLOOKUP(TablaActividades[[#This Row],[IL]],TablaIndicadoresLogro[[#Data],[IL]:[SA]],4,1)</f>
        <v>0</v>
      </c>
      <c r="D15" s="18">
        <f>VLOOKUP(TablaActividades[[#This Row],[IL]],TablaIndicadoresLogro[[#Data],[IL]:[SA]],5,1)</f>
        <v>0</v>
      </c>
      <c r="E15" s="18">
        <f>VLOOKUP(TablaActividades[[#This Row],[IL]],TablaIndicadoresLogro[[#Data],[IL]:[SA]],6,1)</f>
        <v>0</v>
      </c>
      <c r="F15" s="18">
        <f>VLOOKUP(TablaActividades[[#This Row],[IL]],TablaIndicadoresLogro[[#Data],[IL]:[SA]],7,1)</f>
        <v>0</v>
      </c>
      <c r="G15" s="18">
        <f>VLOOKUP(TablaActividades[[#This Row],[IL]],TablaIndicadoresLogro[[#Data],[IL]:[SA]],8,1)</f>
        <v>0</v>
      </c>
      <c r="H15" s="18">
        <f>VLOOKUP(TablaActividades[[#This Row],[IL]],TablaIndicadoresLogro[[#Data],[IL]:[SA]],9,1)</f>
        <v>0</v>
      </c>
      <c r="I15" s="18">
        <f>VLOOKUP(TablaActividades[[#This Row],[IL]],TablaIndicadoresLogro[[#Data],[IL]:[SA]],10,1)</f>
        <v>0</v>
      </c>
      <c r="J15" s="18">
        <f>VLOOKUP(TablaActividades[[#This Row],[IL]],TablaIndicadoresLogro[[#Data],[IL]:[SA]],11,1)</f>
        <v>11</v>
      </c>
      <c r="K15" s="7" t="s">
        <v>459</v>
      </c>
      <c r="L15" s="7" t="s">
        <v>441</v>
      </c>
      <c r="M15" s="7">
        <v>6</v>
      </c>
      <c r="N15" s="19">
        <f>TablaActividades[[#This Row],[PA]]/SUMIF(TablaActividades[IL], TablaActividades[[#This Row],[IL]], TablaActividades[PA])</f>
        <v>1</v>
      </c>
      <c r="O15" s="18">
        <f>TablaActividades[[#This Row],[PIL]]*TablaActividades[[#This Row],[PA%]]</f>
        <v>1</v>
      </c>
    </row>
    <row r="16" spans="1:15" x14ac:dyDescent="0.25">
      <c r="A16" s="7" t="s">
        <v>60</v>
      </c>
      <c r="B16" s="18">
        <f>VLOOKUP(TablaActividades[[#This Row],[IL]],TablaIndicadoresLogro[[#Data],[IL]:[SA]],2,1)</f>
        <v>1</v>
      </c>
      <c r="C16" s="18">
        <f>VLOOKUP(TablaActividades[[#This Row],[IL]],TablaIndicadoresLogro[[#Data],[IL]:[SA]],4,1)</f>
        <v>0</v>
      </c>
      <c r="D16" s="18">
        <f>VLOOKUP(TablaActividades[[#This Row],[IL]],TablaIndicadoresLogro[[#Data],[IL]:[SA]],5,1)</f>
        <v>0</v>
      </c>
      <c r="E16" s="18">
        <f>VLOOKUP(TablaActividades[[#This Row],[IL]],TablaIndicadoresLogro[[#Data],[IL]:[SA]],6,1)</f>
        <v>0</v>
      </c>
      <c r="F16" s="18">
        <f>VLOOKUP(TablaActividades[[#This Row],[IL]],TablaIndicadoresLogro[[#Data],[IL]:[SA]],7,1)</f>
        <v>0</v>
      </c>
      <c r="G16" s="18">
        <f>VLOOKUP(TablaActividades[[#This Row],[IL]],TablaIndicadoresLogro[[#Data],[IL]:[SA]],8,1)</f>
        <v>0</v>
      </c>
      <c r="H16" s="18">
        <f>VLOOKUP(TablaActividades[[#This Row],[IL]],TablaIndicadoresLogro[[#Data],[IL]:[SA]],9,1)</f>
        <v>0</v>
      </c>
      <c r="I16" s="18">
        <f>VLOOKUP(TablaActividades[[#This Row],[IL]],TablaIndicadoresLogro[[#Data],[IL]:[SA]],10,1)</f>
        <v>0</v>
      </c>
      <c r="J16" s="18">
        <f>VLOOKUP(TablaActividades[[#This Row],[IL]],TablaIndicadoresLogro[[#Data],[IL]:[SA]],11,1)</f>
        <v>12</v>
      </c>
      <c r="K16" s="7" t="s">
        <v>460</v>
      </c>
      <c r="L16" s="7" t="s">
        <v>442</v>
      </c>
      <c r="M16" s="7">
        <v>7</v>
      </c>
      <c r="N16" s="19">
        <f>TablaActividades[[#This Row],[PA]]/SUMIF(TablaActividades[IL], TablaActividades[[#This Row],[IL]], TablaActividades[PA])</f>
        <v>1</v>
      </c>
      <c r="O16" s="18">
        <f>TablaActividades[[#This Row],[PIL]]*TablaActividades[[#This Row],[PA%]]</f>
        <v>1</v>
      </c>
    </row>
    <row r="17" spans="1:15" x14ac:dyDescent="0.25">
      <c r="A17" s="7" t="s">
        <v>64</v>
      </c>
      <c r="B17" s="18">
        <f>VLOOKUP(TablaActividades[[#This Row],[IL]],TablaIndicadoresLogro[[#Data],[IL]:[SA]],2,1)</f>
        <v>1</v>
      </c>
      <c r="C17" s="18">
        <f>VLOOKUP(TablaActividades[[#This Row],[IL]],TablaIndicadoresLogro[[#Data],[IL]:[SA]],4,1)</f>
        <v>0</v>
      </c>
      <c r="D17" s="18">
        <f>VLOOKUP(TablaActividades[[#This Row],[IL]],TablaIndicadoresLogro[[#Data],[IL]:[SA]],5,1)</f>
        <v>0</v>
      </c>
      <c r="E17" s="18">
        <f>VLOOKUP(TablaActividades[[#This Row],[IL]],TablaIndicadoresLogro[[#Data],[IL]:[SA]],6,1)</f>
        <v>0</v>
      </c>
      <c r="F17" s="18">
        <f>VLOOKUP(TablaActividades[[#This Row],[IL]],TablaIndicadoresLogro[[#Data],[IL]:[SA]],7,1)</f>
        <v>0</v>
      </c>
      <c r="G17" s="18">
        <f>VLOOKUP(TablaActividades[[#This Row],[IL]],TablaIndicadoresLogro[[#Data],[IL]:[SA]],8,1)</f>
        <v>0</v>
      </c>
      <c r="H17" s="18">
        <f>VLOOKUP(TablaActividades[[#This Row],[IL]],TablaIndicadoresLogro[[#Data],[IL]:[SA]],9,1)</f>
        <v>0</v>
      </c>
      <c r="I17" s="18">
        <f>VLOOKUP(TablaActividades[[#This Row],[IL]],TablaIndicadoresLogro[[#Data],[IL]:[SA]],10,1)</f>
        <v>0</v>
      </c>
      <c r="J17" s="18">
        <f>VLOOKUP(TablaActividades[[#This Row],[IL]],TablaIndicadoresLogro[[#Data],[IL]:[SA]],11,1)</f>
        <v>14</v>
      </c>
      <c r="K17" s="7" t="s">
        <v>461</v>
      </c>
      <c r="L17" s="7" t="s">
        <v>443</v>
      </c>
      <c r="M17" s="7">
        <v>8</v>
      </c>
      <c r="N17" s="19">
        <f>TablaActividades[[#This Row],[PA]]/SUMIF(TablaActividades[IL], TablaActividades[[#This Row],[IL]], TablaActividades[PA])</f>
        <v>1</v>
      </c>
      <c r="O17" s="18">
        <f>TablaActividades[[#This Row],[PIL]]*TablaActividades[[#This Row],[PA%]]</f>
        <v>1</v>
      </c>
    </row>
    <row r="18" spans="1:15" x14ac:dyDescent="0.25">
      <c r="A18" s="7" t="s">
        <v>69</v>
      </c>
      <c r="B18" s="18">
        <f>VLOOKUP(TablaActividades[[#This Row],[IL]],TablaIndicadoresLogro[[#Data],[IL]:[SA]],2,1)</f>
        <v>1</v>
      </c>
      <c r="C18" s="18">
        <f>VLOOKUP(TablaActividades[[#This Row],[IL]],TablaIndicadoresLogro[[#Data],[IL]:[SA]],4,1)</f>
        <v>0</v>
      </c>
      <c r="D18" s="18">
        <f>VLOOKUP(TablaActividades[[#This Row],[IL]],TablaIndicadoresLogro[[#Data],[IL]:[SA]],5,1)</f>
        <v>0</v>
      </c>
      <c r="E18" s="18">
        <f>VLOOKUP(TablaActividades[[#This Row],[IL]],TablaIndicadoresLogro[[#Data],[IL]:[SA]],6,1)</f>
        <v>0</v>
      </c>
      <c r="F18" s="18">
        <f>VLOOKUP(TablaActividades[[#This Row],[IL]],TablaIndicadoresLogro[[#Data],[IL]:[SA]],7,1)</f>
        <v>0</v>
      </c>
      <c r="G18" s="18">
        <f>VLOOKUP(TablaActividades[[#This Row],[IL]],TablaIndicadoresLogro[[#Data],[IL]:[SA]],8,1)</f>
        <v>0</v>
      </c>
      <c r="H18" s="18">
        <f>VLOOKUP(TablaActividades[[#This Row],[IL]],TablaIndicadoresLogro[[#Data],[IL]:[SA]],9,1)</f>
        <v>0</v>
      </c>
      <c r="I18" s="18">
        <f>VLOOKUP(TablaActividades[[#This Row],[IL]],TablaIndicadoresLogro[[#Data],[IL]:[SA]],10,1)</f>
        <v>0</v>
      </c>
      <c r="J18" s="18">
        <f>VLOOKUP(TablaActividades[[#This Row],[IL]],TablaIndicadoresLogro[[#Data],[IL]:[SA]],11,1)</f>
        <v>13</v>
      </c>
      <c r="K18" s="7" t="s">
        <v>462</v>
      </c>
      <c r="L18" s="7" t="s">
        <v>444</v>
      </c>
      <c r="M18" s="7">
        <v>9</v>
      </c>
      <c r="N18" s="19">
        <f>TablaActividades[[#This Row],[PA]]/SUMIF(TablaActividades[IL], TablaActividades[[#This Row],[IL]], TablaActividades[PA])</f>
        <v>1</v>
      </c>
      <c r="O18" s="18">
        <f>TablaActividades[[#This Row],[PIL]]*TablaActividades[[#This Row],[PA%]]</f>
        <v>1</v>
      </c>
    </row>
    <row r="19" spans="1:15" x14ac:dyDescent="0.25">
      <c r="A19" s="7" t="s">
        <v>52</v>
      </c>
      <c r="B19">
        <f>VLOOKUP(TablaActividades[[#This Row],[IL]],TablaIndicadoresLogro[[#Data],[IL]:[SA]],2,1)</f>
        <v>1</v>
      </c>
      <c r="C19" t="str">
        <f>VLOOKUP(TablaActividades[[#This Row],[IL]],TablaIndicadoresLogro[[#Data],[IL]:[SA]],4,1)</f>
        <v>waefger</v>
      </c>
      <c r="D19" t="str">
        <f>VLOOKUP(TablaActividades[[#This Row],[IL]],TablaIndicadoresLogro[[#Data],[IL]:[SA]],5,1)</f>
        <v>ry</v>
      </c>
      <c r="E19" t="str">
        <f>VLOOKUP(TablaActividades[[#This Row],[IL]],TablaIndicadoresLogro[[#Data],[IL]:[SA]],6,1)</f>
        <v>A.1.1</v>
      </c>
      <c r="F19">
        <f>VLOOKUP(TablaActividades[[#This Row],[IL]],TablaIndicadoresLogro[[#Data],[IL]:[SA]],7,1)</f>
        <v>0</v>
      </c>
      <c r="G19" t="str">
        <f>VLOOKUP(TablaActividades[[#This Row],[IL]],TablaIndicadoresLogro[[#Data],[IL]:[SA]],8,1)</f>
        <v>Portfolio</v>
      </c>
      <c r="H19" t="str">
        <f>VLOOKUP(TablaActividades[[#This Row],[IL]],TablaIndicadoresLogro[[#Data],[IL]:[SA]],9,1)</f>
        <v>Rúbrica</v>
      </c>
      <c r="I19" t="str">
        <f>VLOOKUP(TablaActividades[[#This Row],[IL]],TablaIndicadoresLogro[[#Data],[IL]:[SA]],10,1)</f>
        <v>HE</v>
      </c>
      <c r="J19">
        <f>VLOOKUP(TablaActividades[[#This Row],[IL]],TablaIndicadoresLogro[[#Data],[IL]:[SA]],11,1)</f>
        <v>3</v>
      </c>
      <c r="K19" s="7" t="s">
        <v>448</v>
      </c>
      <c r="L19" s="7" t="s">
        <v>445</v>
      </c>
      <c r="M19" s="7">
        <v>1</v>
      </c>
      <c r="N19" s="5">
        <f>TablaActividades[[#This Row],[PA]]/SUMIF(TablaActividades[IL], TablaActividades[[#This Row],[IL]], TablaActividades[PA])</f>
        <v>1</v>
      </c>
      <c r="O19">
        <f>TablaActividades[[#This Row],[PIL]]*TablaActividades[[#This Row],[PA%]]</f>
        <v>1</v>
      </c>
    </row>
  </sheetData>
  <sheetProtection formatColumns="0" insertRows="0" deleteRows="0" autoFilter="0"/>
  <phoneticPr fontId="1" type="noConversion"/>
  <dataValidations count="2">
    <dataValidation allowBlank="1" showInputMessage="1" showErrorMessage="1" sqref="C2:J19" xr:uid="{40E23559-E370-4A7F-AB16-929106382367}"/>
    <dataValidation type="list" allowBlank="1" showInputMessage="1" showErrorMessage="1" sqref="A2:A19" xr:uid="{F35F9C48-8327-4545-AFF2-A121CDDBD817}">
      <formula1>INDIRECT("TablaIndicadoresLogro[IL]")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A2712-4153-43A8-BD4C-1270FE5F1C0C}">
  <dimension ref="A1:E80"/>
  <sheetViews>
    <sheetView workbookViewId="0">
      <selection activeCell="E8" sqref="E8"/>
    </sheetView>
  </sheetViews>
  <sheetFormatPr baseColWidth="10" defaultColWidth="11.42578125" defaultRowHeight="15" x14ac:dyDescent="0.25"/>
  <cols>
    <col min="1" max="1" width="19.28515625" style="13" customWidth="1"/>
    <col min="2" max="2" width="59.7109375" style="17" customWidth="1"/>
    <col min="4" max="4" width="17.7109375" style="13" customWidth="1"/>
    <col min="5" max="5" width="52.5703125" style="17" customWidth="1"/>
  </cols>
  <sheetData>
    <row r="1" spans="1:5" x14ac:dyDescent="0.25">
      <c r="A1" s="15" t="s">
        <v>35</v>
      </c>
      <c r="B1" s="16" t="s">
        <v>77</v>
      </c>
      <c r="C1" s="6"/>
      <c r="D1" s="15" t="s">
        <v>78</v>
      </c>
      <c r="E1" s="16" t="s">
        <v>77</v>
      </c>
    </row>
    <row r="2" spans="1:5" x14ac:dyDescent="0.25">
      <c r="A2" s="13" t="s">
        <v>79</v>
      </c>
      <c r="B2" s="17" t="s">
        <v>135</v>
      </c>
      <c r="D2" s="13">
        <v>1</v>
      </c>
      <c r="E2" s="17" t="s">
        <v>257</v>
      </c>
    </row>
    <row r="3" spans="1:5" ht="30" x14ac:dyDescent="0.25">
      <c r="A3" s="13" t="s">
        <v>80</v>
      </c>
      <c r="B3" s="17" t="s">
        <v>136</v>
      </c>
      <c r="D3" s="13">
        <v>2</v>
      </c>
      <c r="E3" s="17" t="s">
        <v>270</v>
      </c>
    </row>
    <row r="4" spans="1:5" ht="30" x14ac:dyDescent="0.25">
      <c r="A4" s="13" t="s">
        <v>81</v>
      </c>
      <c r="B4" s="17" t="s">
        <v>137</v>
      </c>
      <c r="D4" s="13">
        <v>3</v>
      </c>
      <c r="E4" s="17" t="s">
        <v>271</v>
      </c>
    </row>
    <row r="5" spans="1:5" ht="45" x14ac:dyDescent="0.25">
      <c r="A5" s="13" t="s">
        <v>138</v>
      </c>
      <c r="B5" s="17" t="s">
        <v>139</v>
      </c>
      <c r="D5" s="13">
        <v>4</v>
      </c>
      <c r="E5" s="17" t="s">
        <v>272</v>
      </c>
    </row>
    <row r="6" spans="1:5" ht="45" x14ac:dyDescent="0.25">
      <c r="A6" s="13" t="s">
        <v>140</v>
      </c>
      <c r="B6" s="17" t="s">
        <v>141</v>
      </c>
      <c r="D6" s="13">
        <v>5</v>
      </c>
      <c r="E6" s="17" t="s">
        <v>258</v>
      </c>
    </row>
    <row r="7" spans="1:5" ht="45" x14ac:dyDescent="0.25">
      <c r="A7" s="13" t="s">
        <v>142</v>
      </c>
      <c r="B7" s="17" t="s">
        <v>143</v>
      </c>
      <c r="D7" s="13">
        <v>6</v>
      </c>
      <c r="E7" s="17" t="s">
        <v>259</v>
      </c>
    </row>
    <row r="8" spans="1:5" ht="30" x14ac:dyDescent="0.25">
      <c r="A8" s="13" t="s">
        <v>144</v>
      </c>
      <c r="B8" s="17" t="s">
        <v>145</v>
      </c>
      <c r="D8" s="13">
        <v>7</v>
      </c>
      <c r="E8" s="17" t="s">
        <v>260</v>
      </c>
    </row>
    <row r="9" spans="1:5" ht="45" x14ac:dyDescent="0.25">
      <c r="A9" s="13" t="s">
        <v>146</v>
      </c>
      <c r="B9" s="17" t="s">
        <v>147</v>
      </c>
      <c r="D9" s="13">
        <v>8</v>
      </c>
      <c r="E9" s="17" t="s">
        <v>261</v>
      </c>
    </row>
    <row r="10" spans="1:5" ht="30" x14ac:dyDescent="0.25">
      <c r="A10" s="13" t="s">
        <v>82</v>
      </c>
      <c r="B10" s="17" t="s">
        <v>148</v>
      </c>
      <c r="D10" s="13">
        <v>9</v>
      </c>
      <c r="E10" s="17" t="s">
        <v>262</v>
      </c>
    </row>
    <row r="11" spans="1:5" ht="45" x14ac:dyDescent="0.25">
      <c r="A11" s="13" t="s">
        <v>83</v>
      </c>
      <c r="B11" s="17" t="s">
        <v>149</v>
      </c>
      <c r="D11" s="13">
        <v>10</v>
      </c>
      <c r="E11" s="17" t="s">
        <v>273</v>
      </c>
    </row>
    <row r="12" spans="1:5" ht="45" x14ac:dyDescent="0.25">
      <c r="A12" s="13" t="s">
        <v>84</v>
      </c>
      <c r="B12" s="17" t="s">
        <v>150</v>
      </c>
      <c r="D12" s="13">
        <v>11</v>
      </c>
      <c r="E12" s="17" t="s">
        <v>263</v>
      </c>
    </row>
    <row r="13" spans="1:5" ht="45" x14ac:dyDescent="0.25">
      <c r="A13" s="13" t="s">
        <v>151</v>
      </c>
      <c r="B13" s="17" t="s">
        <v>152</v>
      </c>
      <c r="D13" s="13">
        <v>12</v>
      </c>
      <c r="E13" s="17" t="s">
        <v>264</v>
      </c>
    </row>
    <row r="14" spans="1:5" ht="30" x14ac:dyDescent="0.25">
      <c r="A14" s="13" t="s">
        <v>153</v>
      </c>
      <c r="B14" s="17" t="s">
        <v>154</v>
      </c>
      <c r="D14" s="13">
        <v>13</v>
      </c>
      <c r="E14" s="17" t="s">
        <v>265</v>
      </c>
    </row>
    <row r="15" spans="1:5" ht="45" x14ac:dyDescent="0.25">
      <c r="A15" s="13" t="s">
        <v>155</v>
      </c>
      <c r="B15" s="17" t="s">
        <v>156</v>
      </c>
      <c r="D15" s="13">
        <v>14</v>
      </c>
      <c r="E15" s="17" t="s">
        <v>266</v>
      </c>
    </row>
    <row r="16" spans="1:5" ht="45" x14ac:dyDescent="0.25">
      <c r="A16" s="13" t="s">
        <v>85</v>
      </c>
      <c r="B16" s="17" t="s">
        <v>157</v>
      </c>
      <c r="D16" s="13">
        <v>15</v>
      </c>
      <c r="E16" s="17" t="s">
        <v>267</v>
      </c>
    </row>
    <row r="17" spans="1:5" ht="90" x14ac:dyDescent="0.25">
      <c r="A17" s="13" t="s">
        <v>86</v>
      </c>
      <c r="B17" s="17" t="s">
        <v>158</v>
      </c>
      <c r="D17" s="13">
        <v>16</v>
      </c>
      <c r="E17" s="17" t="s">
        <v>268</v>
      </c>
    </row>
    <row r="18" spans="1:5" ht="45" x14ac:dyDescent="0.25">
      <c r="A18" s="13" t="s">
        <v>87</v>
      </c>
      <c r="B18" s="17" t="s">
        <v>159</v>
      </c>
      <c r="D18" s="13">
        <v>17</v>
      </c>
      <c r="E18" s="17" t="s">
        <v>269</v>
      </c>
    </row>
    <row r="19" spans="1:5" ht="30" x14ac:dyDescent="0.25">
      <c r="A19" s="13" t="s">
        <v>160</v>
      </c>
      <c r="B19" s="17" t="s">
        <v>161</v>
      </c>
    </row>
    <row r="20" spans="1:5" ht="45" x14ac:dyDescent="0.25">
      <c r="A20" s="13" t="s">
        <v>162</v>
      </c>
      <c r="B20" s="17" t="s">
        <v>163</v>
      </c>
    </row>
    <row r="21" spans="1:5" ht="60" x14ac:dyDescent="0.25">
      <c r="A21" s="13" t="s">
        <v>164</v>
      </c>
      <c r="B21" s="17" t="s">
        <v>165</v>
      </c>
    </row>
    <row r="22" spans="1:5" ht="45" x14ac:dyDescent="0.25">
      <c r="A22" s="13" t="s">
        <v>166</v>
      </c>
      <c r="B22" s="17" t="s">
        <v>167</v>
      </c>
    </row>
    <row r="23" spans="1:5" ht="30" x14ac:dyDescent="0.25">
      <c r="A23" s="13" t="s">
        <v>168</v>
      </c>
      <c r="B23" s="17" t="s">
        <v>169</v>
      </c>
    </row>
    <row r="24" spans="1:5" ht="30" x14ac:dyDescent="0.25">
      <c r="A24" s="13" t="s">
        <v>170</v>
      </c>
      <c r="B24" s="17" t="s">
        <v>171</v>
      </c>
    </row>
    <row r="25" spans="1:5" ht="45" x14ac:dyDescent="0.25">
      <c r="A25" s="13" t="s">
        <v>172</v>
      </c>
      <c r="B25" s="17" t="s">
        <v>173</v>
      </c>
    </row>
    <row r="26" spans="1:5" ht="60" x14ac:dyDescent="0.25">
      <c r="A26" s="13" t="s">
        <v>88</v>
      </c>
      <c r="B26" s="17" t="s">
        <v>174</v>
      </c>
    </row>
    <row r="27" spans="1:5" ht="75" x14ac:dyDescent="0.25">
      <c r="A27" s="13" t="s">
        <v>89</v>
      </c>
      <c r="B27" s="17" t="s">
        <v>175</v>
      </c>
    </row>
    <row r="28" spans="1:5" ht="30" x14ac:dyDescent="0.25">
      <c r="A28" s="13" t="s">
        <v>90</v>
      </c>
      <c r="B28" s="17" t="s">
        <v>176</v>
      </c>
    </row>
    <row r="29" spans="1:5" ht="45" x14ac:dyDescent="0.25">
      <c r="A29" s="13" t="s">
        <v>177</v>
      </c>
      <c r="B29" s="17" t="s">
        <v>178</v>
      </c>
    </row>
    <row r="30" spans="1:5" ht="30" x14ac:dyDescent="0.25">
      <c r="A30" s="13" t="s">
        <v>179</v>
      </c>
      <c r="B30" s="17" t="s">
        <v>180</v>
      </c>
    </row>
    <row r="31" spans="1:5" ht="60" x14ac:dyDescent="0.25">
      <c r="A31" s="13" t="s">
        <v>181</v>
      </c>
      <c r="B31" s="17" t="s">
        <v>182</v>
      </c>
    </row>
    <row r="32" spans="1:5" ht="45" x14ac:dyDescent="0.25">
      <c r="A32" s="13" t="s">
        <v>183</v>
      </c>
      <c r="B32" s="17" t="s">
        <v>184</v>
      </c>
    </row>
    <row r="33" spans="1:2" ht="30" x14ac:dyDescent="0.25">
      <c r="A33" s="13" t="s">
        <v>91</v>
      </c>
      <c r="B33" s="17" t="s">
        <v>185</v>
      </c>
    </row>
    <row r="34" spans="1:2" ht="45" x14ac:dyDescent="0.25">
      <c r="A34" s="13" t="s">
        <v>92</v>
      </c>
      <c r="B34" s="17" t="s">
        <v>186</v>
      </c>
    </row>
    <row r="35" spans="1:2" ht="30" x14ac:dyDescent="0.25">
      <c r="A35" s="13" t="s">
        <v>93</v>
      </c>
      <c r="B35" s="17" t="s">
        <v>187</v>
      </c>
    </row>
    <row r="36" spans="1:2" ht="30" x14ac:dyDescent="0.25">
      <c r="A36" s="13" t="s">
        <v>94</v>
      </c>
      <c r="B36" s="17" t="s">
        <v>188</v>
      </c>
    </row>
    <row r="37" spans="1:2" ht="30" x14ac:dyDescent="0.25">
      <c r="A37" s="13" t="s">
        <v>95</v>
      </c>
      <c r="B37" s="17" t="s">
        <v>189</v>
      </c>
    </row>
    <row r="38" spans="1:2" ht="30" x14ac:dyDescent="0.25">
      <c r="A38" s="13" t="s">
        <v>96</v>
      </c>
      <c r="B38" s="17" t="s">
        <v>190</v>
      </c>
    </row>
    <row r="39" spans="1:2" ht="30" x14ac:dyDescent="0.25">
      <c r="A39" s="13" t="s">
        <v>97</v>
      </c>
      <c r="B39" s="17" t="s">
        <v>191</v>
      </c>
    </row>
    <row r="40" spans="1:2" ht="30" x14ac:dyDescent="0.25">
      <c r="A40" s="13" t="s">
        <v>98</v>
      </c>
      <c r="B40" s="17" t="s">
        <v>192</v>
      </c>
    </row>
    <row r="41" spans="1:2" ht="30" x14ac:dyDescent="0.25">
      <c r="A41" s="13" t="s">
        <v>99</v>
      </c>
      <c r="B41" s="17" t="s">
        <v>193</v>
      </c>
    </row>
    <row r="42" spans="1:2" ht="30" x14ac:dyDescent="0.25">
      <c r="A42" s="13" t="s">
        <v>194</v>
      </c>
      <c r="B42" s="17" t="s">
        <v>195</v>
      </c>
    </row>
    <row r="43" spans="1:2" ht="30" x14ac:dyDescent="0.25">
      <c r="A43" s="13" t="s">
        <v>196</v>
      </c>
      <c r="B43" s="17" t="s">
        <v>197</v>
      </c>
    </row>
    <row r="44" spans="1:2" ht="30" x14ac:dyDescent="0.25">
      <c r="A44" s="13" t="s">
        <v>198</v>
      </c>
      <c r="B44" s="17" t="s">
        <v>199</v>
      </c>
    </row>
    <row r="45" spans="1:2" ht="60" x14ac:dyDescent="0.25">
      <c r="A45" s="13" t="s">
        <v>100</v>
      </c>
      <c r="B45" s="17" t="s">
        <v>200</v>
      </c>
    </row>
    <row r="46" spans="1:2" ht="30" x14ac:dyDescent="0.25">
      <c r="A46" s="13" t="s">
        <v>101</v>
      </c>
      <c r="B46" s="17" t="s">
        <v>201</v>
      </c>
    </row>
    <row r="47" spans="1:2" ht="30" x14ac:dyDescent="0.25">
      <c r="A47" s="13" t="s">
        <v>102</v>
      </c>
      <c r="B47" s="17" t="s">
        <v>202</v>
      </c>
    </row>
    <row r="48" spans="1:2" ht="30" x14ac:dyDescent="0.25">
      <c r="A48" s="13" t="s">
        <v>103</v>
      </c>
      <c r="B48" s="17" t="s">
        <v>203</v>
      </c>
    </row>
    <row r="49" spans="1:2" ht="30" x14ac:dyDescent="0.25">
      <c r="A49" s="13" t="s">
        <v>104</v>
      </c>
      <c r="B49" s="17" t="s">
        <v>204</v>
      </c>
    </row>
    <row r="50" spans="1:2" ht="60" x14ac:dyDescent="0.25">
      <c r="A50" s="13" t="s">
        <v>66</v>
      </c>
      <c r="B50" s="17" t="s">
        <v>205</v>
      </c>
    </row>
    <row r="51" spans="1:2" ht="30" x14ac:dyDescent="0.25">
      <c r="A51" s="13" t="s">
        <v>206</v>
      </c>
      <c r="B51" s="17" t="s">
        <v>207</v>
      </c>
    </row>
    <row r="52" spans="1:2" ht="60" x14ac:dyDescent="0.25">
      <c r="A52" s="13" t="s">
        <v>105</v>
      </c>
      <c r="B52" s="17" t="s">
        <v>208</v>
      </c>
    </row>
    <row r="53" spans="1:2" ht="30" x14ac:dyDescent="0.25">
      <c r="A53" s="13" t="s">
        <v>106</v>
      </c>
      <c r="B53" s="17" t="s">
        <v>209</v>
      </c>
    </row>
    <row r="54" spans="1:2" ht="45" x14ac:dyDescent="0.25">
      <c r="A54" s="13" t="s">
        <v>210</v>
      </c>
      <c r="B54" s="17" t="s">
        <v>211</v>
      </c>
    </row>
    <row r="55" spans="1:2" ht="45" x14ac:dyDescent="0.25">
      <c r="A55" s="13" t="s">
        <v>212</v>
      </c>
      <c r="B55" s="17" t="s">
        <v>213</v>
      </c>
    </row>
    <row r="56" spans="1:2" ht="45" x14ac:dyDescent="0.25">
      <c r="A56" s="13" t="s">
        <v>214</v>
      </c>
      <c r="B56" s="17" t="s">
        <v>215</v>
      </c>
    </row>
    <row r="57" spans="1:2" ht="30" x14ac:dyDescent="0.25">
      <c r="A57" s="13" t="s">
        <v>216</v>
      </c>
      <c r="B57" s="17" t="s">
        <v>217</v>
      </c>
    </row>
    <row r="58" spans="1:2" ht="45" x14ac:dyDescent="0.25">
      <c r="A58" s="13" t="s">
        <v>218</v>
      </c>
      <c r="B58" s="17" t="s">
        <v>219</v>
      </c>
    </row>
    <row r="59" spans="1:2" ht="45" x14ac:dyDescent="0.25">
      <c r="A59" s="13" t="s">
        <v>220</v>
      </c>
      <c r="B59" s="17" t="s">
        <v>221</v>
      </c>
    </row>
    <row r="60" spans="1:2" ht="45" x14ac:dyDescent="0.25">
      <c r="A60" s="13" t="s">
        <v>222</v>
      </c>
      <c r="B60" s="17" t="s">
        <v>223</v>
      </c>
    </row>
    <row r="61" spans="1:2" ht="60" x14ac:dyDescent="0.25">
      <c r="A61" s="13" t="s">
        <v>224</v>
      </c>
      <c r="B61" s="17" t="s">
        <v>225</v>
      </c>
    </row>
    <row r="62" spans="1:2" ht="30" x14ac:dyDescent="0.25">
      <c r="A62" s="13" t="s">
        <v>107</v>
      </c>
      <c r="B62" s="17" t="s">
        <v>226</v>
      </c>
    </row>
    <row r="63" spans="1:2" ht="30" x14ac:dyDescent="0.25">
      <c r="A63" s="13" t="s">
        <v>108</v>
      </c>
      <c r="B63" s="17" t="s">
        <v>227</v>
      </c>
    </row>
    <row r="64" spans="1:2" ht="30" x14ac:dyDescent="0.25">
      <c r="A64" s="13" t="s">
        <v>109</v>
      </c>
      <c r="B64" s="17" t="s">
        <v>228</v>
      </c>
    </row>
    <row r="65" spans="1:2" ht="45" x14ac:dyDescent="0.25">
      <c r="A65" s="13" t="s">
        <v>110</v>
      </c>
      <c r="B65" s="17" t="s">
        <v>229</v>
      </c>
    </row>
    <row r="66" spans="1:2" ht="45" x14ac:dyDescent="0.25">
      <c r="A66" s="13" t="s">
        <v>230</v>
      </c>
      <c r="B66" s="17" t="s">
        <v>231</v>
      </c>
    </row>
    <row r="67" spans="1:2" ht="45" x14ac:dyDescent="0.25">
      <c r="A67" s="13" t="s">
        <v>232</v>
      </c>
      <c r="B67" s="17" t="s">
        <v>233</v>
      </c>
    </row>
    <row r="68" spans="1:2" ht="30" x14ac:dyDescent="0.25">
      <c r="A68" s="13" t="s">
        <v>234</v>
      </c>
      <c r="B68" s="17" t="s">
        <v>235</v>
      </c>
    </row>
    <row r="69" spans="1:2" ht="60" x14ac:dyDescent="0.25">
      <c r="A69" s="13" t="s">
        <v>236</v>
      </c>
      <c r="B69" s="17" t="s">
        <v>237</v>
      </c>
    </row>
    <row r="70" spans="1:2" ht="45" x14ac:dyDescent="0.25">
      <c r="A70" s="13" t="s">
        <v>238</v>
      </c>
      <c r="B70" s="17" t="s">
        <v>239</v>
      </c>
    </row>
    <row r="71" spans="1:2" ht="45" x14ac:dyDescent="0.25">
      <c r="A71" s="13" t="s">
        <v>240</v>
      </c>
      <c r="B71" s="17" t="s">
        <v>241</v>
      </c>
    </row>
    <row r="72" spans="1:2" ht="30" x14ac:dyDescent="0.25">
      <c r="A72" s="13" t="s">
        <v>242</v>
      </c>
      <c r="B72" s="17" t="s">
        <v>243</v>
      </c>
    </row>
    <row r="73" spans="1:2" ht="45" x14ac:dyDescent="0.25">
      <c r="A73" s="13" t="s">
        <v>244</v>
      </c>
      <c r="B73" s="17" t="s">
        <v>245</v>
      </c>
    </row>
    <row r="74" spans="1:2" ht="60" x14ac:dyDescent="0.25">
      <c r="A74" s="13" t="s">
        <v>246</v>
      </c>
      <c r="B74" s="17" t="s">
        <v>247</v>
      </c>
    </row>
    <row r="75" spans="1:2" ht="30" x14ac:dyDescent="0.25">
      <c r="A75" s="13" t="s">
        <v>111</v>
      </c>
      <c r="B75" s="17" t="s">
        <v>248</v>
      </c>
    </row>
    <row r="76" spans="1:2" ht="45" x14ac:dyDescent="0.25">
      <c r="A76" s="13" t="s">
        <v>112</v>
      </c>
      <c r="B76" s="17" t="s">
        <v>249</v>
      </c>
    </row>
    <row r="77" spans="1:2" ht="45" x14ac:dyDescent="0.25">
      <c r="A77" s="13" t="s">
        <v>113</v>
      </c>
      <c r="B77" s="17" t="s">
        <v>250</v>
      </c>
    </row>
    <row r="78" spans="1:2" ht="60" x14ac:dyDescent="0.25">
      <c r="A78" s="13" t="s">
        <v>251</v>
      </c>
      <c r="B78" s="17" t="s">
        <v>252</v>
      </c>
    </row>
    <row r="79" spans="1:2" ht="30" x14ac:dyDescent="0.25">
      <c r="A79" s="13" t="s">
        <v>253</v>
      </c>
      <c r="B79" s="17" t="s">
        <v>254</v>
      </c>
    </row>
    <row r="80" spans="1:2" ht="45" x14ac:dyDescent="0.25">
      <c r="A80" s="13" t="s">
        <v>255</v>
      </c>
      <c r="B80" s="17" t="s">
        <v>256</v>
      </c>
    </row>
  </sheetData>
  <phoneticPr fontId="1" type="noConversion"/>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expression" priority="2" id="{2121CC5B-9B62-4231-AAB6-707375300F7D}">
            <xm:f>ISNUMBER(SEARCH("," &amp; A2 &amp; ",", "," &amp; SUBSTITUTE(_xlfn.TEXTJOIN(",", TRUE, IndicadoresLogro!$H$2:$H$70), " ", "") &amp; ","))</xm:f>
            <x14:dxf>
              <font>
                <b/>
                <i val="0"/>
              </font>
              <fill>
                <patternFill>
                  <bgColor theme="9" tint="0.39994506668294322"/>
                </patternFill>
              </fill>
            </x14:dxf>
          </x14:cfRule>
          <xm:sqref>A2:A200</xm:sqref>
        </x14:conditionalFormatting>
        <x14:conditionalFormatting xmlns:xm="http://schemas.microsoft.com/office/excel/2006/main">
          <x14:cfRule type="expression" priority="1" id="{72CCC43C-B60C-4EC2-99A2-EBAD7D30FE90}">
            <xm:f>ISNUMBER(SEARCH("," &amp; D2 &amp; ",", "," &amp; SUBSTITUTE(_xlfn.TEXTJOIN(",", TRUE, IndicadoresLogro!$I$2:$I$70), " ", "") &amp; ","))</xm:f>
            <x14:dxf>
              <font>
                <b/>
                <i val="0"/>
              </font>
              <fill>
                <patternFill>
                  <bgColor theme="9" tint="0.39994506668294322"/>
                </patternFill>
              </fill>
            </x14:dxf>
          </x14:cfRule>
          <xm:sqref>D2:D200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FCE0E-D529-47E5-A421-6A055C6171C8}">
  <dimension ref="B1:F11"/>
  <sheetViews>
    <sheetView workbookViewId="0">
      <selection activeCell="I33" sqref="I33"/>
    </sheetView>
  </sheetViews>
  <sheetFormatPr baseColWidth="10" defaultColWidth="11.42578125" defaultRowHeight="15" x14ac:dyDescent="0.25"/>
  <cols>
    <col min="6" max="6" width="13.28515625" customWidth="1"/>
  </cols>
  <sheetData>
    <row r="1" spans="2:6" x14ac:dyDescent="0.25">
      <c r="B1" t="s">
        <v>49</v>
      </c>
      <c r="D1" t="s">
        <v>51</v>
      </c>
      <c r="F1" t="s">
        <v>50</v>
      </c>
    </row>
    <row r="2" spans="2:6" x14ac:dyDescent="0.25">
      <c r="B2" t="s">
        <v>114</v>
      </c>
      <c r="D2" t="s">
        <v>54</v>
      </c>
      <c r="F2" t="s">
        <v>53</v>
      </c>
    </row>
    <row r="3" spans="2:6" x14ac:dyDescent="0.25">
      <c r="B3" t="s">
        <v>115</v>
      </c>
      <c r="D3" t="s">
        <v>59</v>
      </c>
      <c r="F3" t="s">
        <v>58</v>
      </c>
    </row>
    <row r="4" spans="2:6" x14ac:dyDescent="0.25">
      <c r="B4" t="s">
        <v>116</v>
      </c>
      <c r="D4" t="s">
        <v>117</v>
      </c>
      <c r="F4" t="s">
        <v>118</v>
      </c>
    </row>
    <row r="5" spans="2:6" x14ac:dyDescent="0.25">
      <c r="B5" t="s">
        <v>27</v>
      </c>
      <c r="F5" t="s">
        <v>119</v>
      </c>
    </row>
    <row r="6" spans="2:6" x14ac:dyDescent="0.25">
      <c r="B6" t="s">
        <v>120</v>
      </c>
    </row>
    <row r="7" spans="2:6" x14ac:dyDescent="0.25">
      <c r="B7" t="s">
        <v>121</v>
      </c>
    </row>
    <row r="8" spans="2:6" x14ac:dyDescent="0.25">
      <c r="B8" t="s">
        <v>122</v>
      </c>
    </row>
    <row r="9" spans="2:6" x14ac:dyDescent="0.25">
      <c r="B9" t="s">
        <v>28</v>
      </c>
    </row>
    <row r="10" spans="2:6" x14ac:dyDescent="0.25">
      <c r="B10" t="s">
        <v>123</v>
      </c>
    </row>
    <row r="11" spans="2:6" x14ac:dyDescent="0.25">
      <c r="B11" t="s">
        <v>124</v>
      </c>
    </row>
  </sheetData>
  <pageMargins left="0.7" right="0.7" top="0.75" bottom="0.75" header="0.3" footer="0.3"/>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F5D3B-979A-47F2-8B26-9531231BD3B5}">
  <dimension ref="A1:B14"/>
  <sheetViews>
    <sheetView workbookViewId="0">
      <selection activeCell="B16" sqref="B16"/>
    </sheetView>
  </sheetViews>
  <sheetFormatPr baseColWidth="10" defaultRowHeight="15" x14ac:dyDescent="0.25"/>
  <cols>
    <col min="1" max="1" width="29.42578125" style="1" customWidth="1"/>
    <col min="2" max="2" width="91" style="1" customWidth="1"/>
  </cols>
  <sheetData>
    <row r="1" spans="1:2" x14ac:dyDescent="0.25">
      <c r="A1" s="1" t="s">
        <v>341</v>
      </c>
      <c r="B1" s="1" t="s">
        <v>342</v>
      </c>
    </row>
    <row r="2" spans="1:2" x14ac:dyDescent="0.25">
      <c r="A2" s="1" t="s">
        <v>343</v>
      </c>
      <c r="B2" s="1" t="s">
        <v>344</v>
      </c>
    </row>
    <row r="3" spans="1:2" x14ac:dyDescent="0.25">
      <c r="A3" s="1" t="s">
        <v>345</v>
      </c>
      <c r="B3" s="1" t="s">
        <v>346</v>
      </c>
    </row>
    <row r="4" spans="1:2" x14ac:dyDescent="0.25">
      <c r="A4" s="1" t="s">
        <v>347</v>
      </c>
      <c r="B4" s="1" t="s">
        <v>446</v>
      </c>
    </row>
    <row r="5" spans="1:2" x14ac:dyDescent="0.25">
      <c r="A5" s="1" t="s">
        <v>348</v>
      </c>
      <c r="B5" s="1" t="s">
        <v>349</v>
      </c>
    </row>
    <row r="6" spans="1:2" x14ac:dyDescent="0.25">
      <c r="A6" s="1" t="s">
        <v>350</v>
      </c>
      <c r="B6" s="1">
        <v>12</v>
      </c>
    </row>
    <row r="7" spans="1:2" ht="30" x14ac:dyDescent="0.25">
      <c r="A7" s="1" t="s">
        <v>351</v>
      </c>
      <c r="B7" s="1" t="s">
        <v>352</v>
      </c>
    </row>
    <row r="8" spans="1:2" ht="45" x14ac:dyDescent="0.25">
      <c r="A8" s="1" t="s">
        <v>353</v>
      </c>
      <c r="B8" s="1" t="s">
        <v>354</v>
      </c>
    </row>
    <row r="9" spans="1:2" ht="45" x14ac:dyDescent="0.25">
      <c r="A9" s="1" t="s">
        <v>355</v>
      </c>
      <c r="B9" s="1" t="s">
        <v>356</v>
      </c>
    </row>
    <row r="10" spans="1:2" ht="30" x14ac:dyDescent="0.25">
      <c r="A10" s="1" t="s">
        <v>357</v>
      </c>
      <c r="B10" s="1" t="s">
        <v>358</v>
      </c>
    </row>
    <row r="11" spans="1:2" ht="45" x14ac:dyDescent="0.25">
      <c r="A11" s="1" t="s">
        <v>359</v>
      </c>
      <c r="B11" s="1" t="s">
        <v>360</v>
      </c>
    </row>
    <row r="12" spans="1:2" ht="45" x14ac:dyDescent="0.25">
      <c r="A12" s="1" t="s">
        <v>361</v>
      </c>
      <c r="B12" s="1" t="s">
        <v>362</v>
      </c>
    </row>
    <row r="13" spans="1:2" ht="30" x14ac:dyDescent="0.25">
      <c r="A13" s="1" t="s">
        <v>363</v>
      </c>
      <c r="B13" s="1" t="s">
        <v>364</v>
      </c>
    </row>
    <row r="14" spans="1:2" x14ac:dyDescent="0.25">
      <c r="A14" s="1" t="s">
        <v>365</v>
      </c>
      <c r="B14" s="1" t="s">
        <v>366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C23CF-2621-4ACF-A349-5C3DCD31D8AF}">
  <dimension ref="A1:P18"/>
  <sheetViews>
    <sheetView workbookViewId="0">
      <selection activeCell="F33" sqref="F33"/>
    </sheetView>
  </sheetViews>
  <sheetFormatPr baseColWidth="10" defaultRowHeight="15" x14ac:dyDescent="0.25"/>
  <cols>
    <col min="2" max="3" width="12.7109375" customWidth="1"/>
  </cols>
  <sheetData>
    <row r="1" spans="1:16" x14ac:dyDescent="0.25">
      <c r="A1" t="s">
        <v>341</v>
      </c>
      <c r="B1" t="s">
        <v>367</v>
      </c>
      <c r="C1" t="s">
        <v>368</v>
      </c>
      <c r="D1" t="s">
        <v>415</v>
      </c>
      <c r="E1" t="s">
        <v>416</v>
      </c>
      <c r="F1" t="s">
        <v>417</v>
      </c>
      <c r="G1" t="s">
        <v>418</v>
      </c>
      <c r="H1" t="s">
        <v>419</v>
      </c>
      <c r="I1" t="s">
        <v>420</v>
      </c>
      <c r="J1" t="s">
        <v>421</v>
      </c>
      <c r="K1" t="s">
        <v>422</v>
      </c>
      <c r="L1" t="s">
        <v>423</v>
      </c>
      <c r="M1" t="s">
        <v>424</v>
      </c>
      <c r="N1" t="s">
        <v>425</v>
      </c>
      <c r="O1" t="s">
        <v>426</v>
      </c>
      <c r="P1" t="s">
        <v>427</v>
      </c>
    </row>
    <row r="2" spans="1:16" x14ac:dyDescent="0.25">
      <c r="A2" t="s">
        <v>369</v>
      </c>
      <c r="B2" t="s">
        <v>308</v>
      </c>
      <c r="C2" t="s">
        <v>309</v>
      </c>
      <c r="D2" t="s">
        <v>310</v>
      </c>
      <c r="E2" t="s">
        <v>311</v>
      </c>
      <c r="F2" t="s">
        <v>312</v>
      </c>
      <c r="G2" t="s">
        <v>313</v>
      </c>
      <c r="H2" t="s">
        <v>314</v>
      </c>
      <c r="I2" t="s">
        <v>315</v>
      </c>
      <c r="J2" t="s">
        <v>316</v>
      </c>
      <c r="K2" t="s">
        <v>317</v>
      </c>
      <c r="L2" t="s">
        <v>318</v>
      </c>
      <c r="M2" t="s">
        <v>319</v>
      </c>
      <c r="N2" t="s">
        <v>320</v>
      </c>
      <c r="O2" t="s">
        <v>321</v>
      </c>
      <c r="P2" t="s">
        <v>322</v>
      </c>
    </row>
    <row r="3" spans="1:16" x14ac:dyDescent="0.25">
      <c r="A3" t="s">
        <v>370</v>
      </c>
      <c r="B3" t="s">
        <v>371</v>
      </c>
      <c r="C3" t="s">
        <v>371</v>
      </c>
      <c r="D3" t="s">
        <v>371</v>
      </c>
      <c r="E3" t="s">
        <v>371</v>
      </c>
      <c r="F3" t="s">
        <v>371</v>
      </c>
      <c r="G3" t="s">
        <v>371</v>
      </c>
      <c r="H3" t="s">
        <v>371</v>
      </c>
      <c r="I3" t="s">
        <v>371</v>
      </c>
      <c r="J3" t="s">
        <v>371</v>
      </c>
      <c r="K3" t="s">
        <v>371</v>
      </c>
      <c r="L3" t="s">
        <v>371</v>
      </c>
      <c r="M3" t="s">
        <v>371</v>
      </c>
      <c r="N3" t="s">
        <v>371</v>
      </c>
      <c r="O3" t="s">
        <v>371</v>
      </c>
      <c r="P3" t="s">
        <v>371</v>
      </c>
    </row>
    <row r="4" spans="1:16" x14ac:dyDescent="0.25">
      <c r="A4" t="s">
        <v>372</v>
      </c>
      <c r="B4" t="s">
        <v>373</v>
      </c>
      <c r="C4" t="s">
        <v>374</v>
      </c>
      <c r="D4" t="s">
        <v>374</v>
      </c>
      <c r="E4" t="s">
        <v>374</v>
      </c>
      <c r="F4" t="s">
        <v>374</v>
      </c>
      <c r="G4" t="s">
        <v>374</v>
      </c>
      <c r="H4" t="s">
        <v>374</v>
      </c>
      <c r="I4" t="s">
        <v>374</v>
      </c>
      <c r="J4" t="s">
        <v>374</v>
      </c>
      <c r="K4" t="s">
        <v>374</v>
      </c>
      <c r="L4" t="s">
        <v>374</v>
      </c>
      <c r="M4" t="s">
        <v>374</v>
      </c>
      <c r="N4" t="s">
        <v>374</v>
      </c>
      <c r="O4" t="s">
        <v>374</v>
      </c>
      <c r="P4" t="s">
        <v>374</v>
      </c>
    </row>
    <row r="5" spans="1:16" x14ac:dyDescent="0.25">
      <c r="A5" t="s">
        <v>375</v>
      </c>
      <c r="B5" t="s">
        <v>376</v>
      </c>
      <c r="C5" t="s">
        <v>377</v>
      </c>
      <c r="D5" t="s">
        <v>377</v>
      </c>
      <c r="E5" t="s">
        <v>377</v>
      </c>
      <c r="F5" t="s">
        <v>377</v>
      </c>
      <c r="G5" t="s">
        <v>377</v>
      </c>
      <c r="H5" t="s">
        <v>377</v>
      </c>
      <c r="I5" t="s">
        <v>377</v>
      </c>
      <c r="J5" t="s">
        <v>377</v>
      </c>
      <c r="K5" t="s">
        <v>377</v>
      </c>
      <c r="L5" t="s">
        <v>377</v>
      </c>
      <c r="M5" t="s">
        <v>377</v>
      </c>
      <c r="N5" t="s">
        <v>377</v>
      </c>
      <c r="O5" t="s">
        <v>377</v>
      </c>
      <c r="P5" t="s">
        <v>377</v>
      </c>
    </row>
    <row r="6" spans="1:16" x14ac:dyDescent="0.25">
      <c r="A6" t="s">
        <v>378</v>
      </c>
      <c r="B6" t="s">
        <v>379</v>
      </c>
      <c r="C6" t="s">
        <v>380</v>
      </c>
      <c r="D6" t="s">
        <v>380</v>
      </c>
      <c r="E6" t="s">
        <v>380</v>
      </c>
      <c r="F6" t="s">
        <v>380</v>
      </c>
      <c r="G6" t="s">
        <v>380</v>
      </c>
      <c r="H6" t="s">
        <v>380</v>
      </c>
      <c r="I6" t="s">
        <v>380</v>
      </c>
      <c r="J6" t="s">
        <v>380</v>
      </c>
      <c r="K6" t="s">
        <v>380</v>
      </c>
      <c r="L6" t="s">
        <v>380</v>
      </c>
      <c r="M6" t="s">
        <v>380</v>
      </c>
      <c r="N6" t="s">
        <v>380</v>
      </c>
      <c r="O6" t="s">
        <v>380</v>
      </c>
      <c r="P6" t="s">
        <v>380</v>
      </c>
    </row>
    <row r="7" spans="1:16" x14ac:dyDescent="0.25">
      <c r="A7" t="s">
        <v>381</v>
      </c>
      <c r="B7" t="s">
        <v>382</v>
      </c>
      <c r="C7" t="s">
        <v>383</v>
      </c>
      <c r="D7" t="s">
        <v>383</v>
      </c>
      <c r="E7" t="s">
        <v>383</v>
      </c>
      <c r="F7" t="s">
        <v>383</v>
      </c>
      <c r="G7" t="s">
        <v>383</v>
      </c>
      <c r="H7" t="s">
        <v>383</v>
      </c>
      <c r="I7" t="s">
        <v>383</v>
      </c>
      <c r="J7" t="s">
        <v>383</v>
      </c>
      <c r="K7" t="s">
        <v>383</v>
      </c>
      <c r="L7" t="s">
        <v>383</v>
      </c>
      <c r="M7" t="s">
        <v>383</v>
      </c>
      <c r="N7" t="s">
        <v>383</v>
      </c>
      <c r="O7" t="s">
        <v>383</v>
      </c>
      <c r="P7" t="s">
        <v>383</v>
      </c>
    </row>
    <row r="8" spans="1:16" x14ac:dyDescent="0.25">
      <c r="A8" t="s">
        <v>384</v>
      </c>
      <c r="B8" t="s">
        <v>385</v>
      </c>
      <c r="C8" t="s">
        <v>386</v>
      </c>
      <c r="D8" t="s">
        <v>386</v>
      </c>
      <c r="E8" t="s">
        <v>386</v>
      </c>
      <c r="F8" t="s">
        <v>386</v>
      </c>
      <c r="G8" t="s">
        <v>386</v>
      </c>
      <c r="H8" t="s">
        <v>386</v>
      </c>
      <c r="I8" t="s">
        <v>386</v>
      </c>
      <c r="J8" t="s">
        <v>386</v>
      </c>
      <c r="K8" t="s">
        <v>386</v>
      </c>
      <c r="L8" t="s">
        <v>386</v>
      </c>
      <c r="M8" t="s">
        <v>386</v>
      </c>
      <c r="N8" t="s">
        <v>386</v>
      </c>
      <c r="O8" t="s">
        <v>386</v>
      </c>
      <c r="P8" t="s">
        <v>386</v>
      </c>
    </row>
    <row r="9" spans="1:16" x14ac:dyDescent="0.25">
      <c r="A9" t="s">
        <v>387</v>
      </c>
      <c r="B9" t="s">
        <v>388</v>
      </c>
      <c r="C9" t="s">
        <v>389</v>
      </c>
      <c r="D9" t="s">
        <v>389</v>
      </c>
      <c r="E9" t="s">
        <v>389</v>
      </c>
      <c r="F9" t="s">
        <v>389</v>
      </c>
      <c r="G9" t="s">
        <v>389</v>
      </c>
      <c r="H9" t="s">
        <v>389</v>
      </c>
      <c r="I9" t="s">
        <v>389</v>
      </c>
      <c r="J9" t="s">
        <v>389</v>
      </c>
      <c r="K9" t="s">
        <v>389</v>
      </c>
      <c r="L9" t="s">
        <v>389</v>
      </c>
      <c r="M9" t="s">
        <v>389</v>
      </c>
      <c r="N9" t="s">
        <v>389</v>
      </c>
      <c r="O9" t="s">
        <v>389</v>
      </c>
      <c r="P9" t="s">
        <v>389</v>
      </c>
    </row>
    <row r="10" spans="1:16" x14ac:dyDescent="0.25">
      <c r="A10" t="s">
        <v>390</v>
      </c>
      <c r="B10" t="s">
        <v>391</v>
      </c>
      <c r="C10" t="s">
        <v>392</v>
      </c>
      <c r="D10" t="s">
        <v>392</v>
      </c>
      <c r="E10" t="s">
        <v>392</v>
      </c>
      <c r="F10" t="s">
        <v>392</v>
      </c>
      <c r="G10" t="s">
        <v>392</v>
      </c>
      <c r="H10" t="s">
        <v>392</v>
      </c>
      <c r="I10" t="s">
        <v>392</v>
      </c>
      <c r="J10" t="s">
        <v>392</v>
      </c>
      <c r="K10" t="s">
        <v>392</v>
      </c>
      <c r="L10" t="s">
        <v>392</v>
      </c>
      <c r="M10" t="s">
        <v>392</v>
      </c>
      <c r="N10" t="s">
        <v>392</v>
      </c>
      <c r="O10" t="s">
        <v>392</v>
      </c>
      <c r="P10" t="s">
        <v>392</v>
      </c>
    </row>
    <row r="11" spans="1:16" x14ac:dyDescent="0.25">
      <c r="A11" t="s">
        <v>393</v>
      </c>
      <c r="B11" t="s">
        <v>394</v>
      </c>
      <c r="C11" t="s">
        <v>395</v>
      </c>
      <c r="D11" t="s">
        <v>395</v>
      </c>
      <c r="E11" t="s">
        <v>395</v>
      </c>
      <c r="F11" t="s">
        <v>395</v>
      </c>
      <c r="G11" t="s">
        <v>395</v>
      </c>
      <c r="H11" t="s">
        <v>395</v>
      </c>
      <c r="I11" t="s">
        <v>395</v>
      </c>
      <c r="J11" t="s">
        <v>395</v>
      </c>
      <c r="K11" t="s">
        <v>395</v>
      </c>
      <c r="L11" t="s">
        <v>395</v>
      </c>
      <c r="M11" t="s">
        <v>395</v>
      </c>
      <c r="N11" t="s">
        <v>395</v>
      </c>
      <c r="O11" t="s">
        <v>395</v>
      </c>
      <c r="P11" t="s">
        <v>395</v>
      </c>
    </row>
    <row r="12" spans="1:16" x14ac:dyDescent="0.25">
      <c r="A12" t="s">
        <v>396</v>
      </c>
      <c r="B12" t="s">
        <v>397</v>
      </c>
      <c r="C12" t="s">
        <v>398</v>
      </c>
      <c r="D12" t="s">
        <v>398</v>
      </c>
      <c r="E12" t="s">
        <v>398</v>
      </c>
      <c r="F12" t="s">
        <v>398</v>
      </c>
      <c r="G12" t="s">
        <v>398</v>
      </c>
      <c r="H12" t="s">
        <v>398</v>
      </c>
      <c r="I12" t="s">
        <v>398</v>
      </c>
      <c r="J12" t="s">
        <v>398</v>
      </c>
      <c r="K12" t="s">
        <v>398</v>
      </c>
      <c r="L12" t="s">
        <v>398</v>
      </c>
      <c r="M12" t="s">
        <v>398</v>
      </c>
      <c r="N12" t="s">
        <v>398</v>
      </c>
      <c r="O12" t="s">
        <v>398</v>
      </c>
      <c r="P12" t="s">
        <v>398</v>
      </c>
    </row>
    <row r="13" spans="1:16" x14ac:dyDescent="0.25">
      <c r="A13" t="s">
        <v>399</v>
      </c>
      <c r="B13" t="s">
        <v>400</v>
      </c>
      <c r="C13" t="s">
        <v>401</v>
      </c>
      <c r="D13" t="s">
        <v>401</v>
      </c>
      <c r="E13" t="s">
        <v>401</v>
      </c>
      <c r="F13" t="s">
        <v>401</v>
      </c>
      <c r="G13" t="s">
        <v>401</v>
      </c>
      <c r="H13" t="s">
        <v>401</v>
      </c>
      <c r="I13" t="s">
        <v>401</v>
      </c>
      <c r="J13" t="s">
        <v>401</v>
      </c>
      <c r="K13" t="s">
        <v>401</v>
      </c>
      <c r="L13" t="s">
        <v>401</v>
      </c>
      <c r="M13" t="s">
        <v>401</v>
      </c>
      <c r="N13" t="s">
        <v>401</v>
      </c>
      <c r="O13" t="s">
        <v>401</v>
      </c>
      <c r="P13" t="s">
        <v>401</v>
      </c>
    </row>
    <row r="14" spans="1:16" x14ac:dyDescent="0.25">
      <c r="A14" t="s">
        <v>402</v>
      </c>
      <c r="B14" t="s">
        <v>403</v>
      </c>
      <c r="C14" t="s">
        <v>403</v>
      </c>
      <c r="D14" t="s">
        <v>403</v>
      </c>
      <c r="E14" t="s">
        <v>403</v>
      </c>
      <c r="F14" t="s">
        <v>403</v>
      </c>
      <c r="G14" t="s">
        <v>403</v>
      </c>
      <c r="H14" t="s">
        <v>403</v>
      </c>
      <c r="I14" t="s">
        <v>403</v>
      </c>
      <c r="J14" t="s">
        <v>403</v>
      </c>
      <c r="K14" t="s">
        <v>403</v>
      </c>
      <c r="L14" t="s">
        <v>403</v>
      </c>
      <c r="M14" t="s">
        <v>403</v>
      </c>
      <c r="N14" t="s">
        <v>403</v>
      </c>
      <c r="O14" t="s">
        <v>403</v>
      </c>
      <c r="P14" t="s">
        <v>403</v>
      </c>
    </row>
    <row r="15" spans="1:16" x14ac:dyDescent="0.25">
      <c r="A15" t="s">
        <v>404</v>
      </c>
      <c r="B15" t="s">
        <v>405</v>
      </c>
      <c r="C15" t="s">
        <v>406</v>
      </c>
      <c r="D15" t="s">
        <v>406</v>
      </c>
      <c r="E15" t="s">
        <v>406</v>
      </c>
      <c r="F15" t="s">
        <v>406</v>
      </c>
      <c r="G15" t="s">
        <v>406</v>
      </c>
      <c r="H15" t="s">
        <v>406</v>
      </c>
      <c r="I15" t="s">
        <v>406</v>
      </c>
      <c r="J15" t="s">
        <v>406</v>
      </c>
      <c r="K15" t="s">
        <v>406</v>
      </c>
      <c r="L15" t="s">
        <v>406</v>
      </c>
      <c r="M15" t="s">
        <v>406</v>
      </c>
      <c r="N15" t="s">
        <v>406</v>
      </c>
      <c r="O15" t="s">
        <v>406</v>
      </c>
      <c r="P15" t="s">
        <v>406</v>
      </c>
    </row>
    <row r="16" spans="1:16" x14ac:dyDescent="0.25">
      <c r="A16" t="s">
        <v>407</v>
      </c>
      <c r="B16" t="s">
        <v>408</v>
      </c>
      <c r="C16" t="s">
        <v>409</v>
      </c>
      <c r="D16" t="s">
        <v>409</v>
      </c>
      <c r="E16" t="s">
        <v>409</v>
      </c>
      <c r="F16" t="s">
        <v>409</v>
      </c>
      <c r="G16" t="s">
        <v>409</v>
      </c>
      <c r="H16" t="s">
        <v>409</v>
      </c>
      <c r="I16" t="s">
        <v>409</v>
      </c>
      <c r="J16" t="s">
        <v>409</v>
      </c>
      <c r="K16" t="s">
        <v>409</v>
      </c>
      <c r="L16" t="s">
        <v>409</v>
      </c>
      <c r="M16" t="s">
        <v>409</v>
      </c>
      <c r="N16" t="s">
        <v>409</v>
      </c>
      <c r="O16" t="s">
        <v>409</v>
      </c>
      <c r="P16" t="s">
        <v>409</v>
      </c>
    </row>
    <row r="17" spans="1:16" x14ac:dyDescent="0.25">
      <c r="A17" t="s">
        <v>410</v>
      </c>
      <c r="B17" t="s">
        <v>411</v>
      </c>
      <c r="C17" t="s">
        <v>411</v>
      </c>
      <c r="D17" t="s">
        <v>411</v>
      </c>
      <c r="E17" t="s">
        <v>411</v>
      </c>
      <c r="F17" t="s">
        <v>411</v>
      </c>
      <c r="G17" t="s">
        <v>411</v>
      </c>
      <c r="H17" t="s">
        <v>411</v>
      </c>
      <c r="I17" t="s">
        <v>411</v>
      </c>
      <c r="J17" t="s">
        <v>411</v>
      </c>
      <c r="K17" t="s">
        <v>411</v>
      </c>
      <c r="L17" t="s">
        <v>411</v>
      </c>
      <c r="M17" t="s">
        <v>411</v>
      </c>
      <c r="N17" t="s">
        <v>411</v>
      </c>
      <c r="O17" t="s">
        <v>411</v>
      </c>
      <c r="P17" t="s">
        <v>411</v>
      </c>
    </row>
    <row r="18" spans="1:16" x14ac:dyDescent="0.25">
      <c r="A18" t="s">
        <v>412</v>
      </c>
      <c r="B18" t="s">
        <v>413</v>
      </c>
      <c r="C18" t="s">
        <v>414</v>
      </c>
      <c r="D18" t="s">
        <v>414</v>
      </c>
      <c r="E18" t="s">
        <v>414</v>
      </c>
      <c r="F18" t="s">
        <v>414</v>
      </c>
      <c r="G18" t="s">
        <v>414</v>
      </c>
      <c r="H18" t="s">
        <v>414</v>
      </c>
      <c r="I18" t="s">
        <v>414</v>
      </c>
      <c r="J18" t="s">
        <v>414</v>
      </c>
      <c r="K18" t="s">
        <v>414</v>
      </c>
      <c r="L18" t="s">
        <v>414</v>
      </c>
      <c r="M18" t="s">
        <v>414</v>
      </c>
      <c r="N18" t="s">
        <v>414</v>
      </c>
      <c r="O18" t="s">
        <v>414</v>
      </c>
      <c r="P18" t="s">
        <v>414</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o" ma:contentTypeID="0x0101008786672AE68D0D47A5C6302FB918B32D" ma:contentTypeVersion="4" ma:contentTypeDescription="Crear nuevo documento." ma:contentTypeScope="" ma:versionID="72a8e0006c42f7d0c6669cd81665f5e1">
  <xsd:schema xmlns:xsd="http://www.w3.org/2001/XMLSchema" xmlns:xs="http://www.w3.org/2001/XMLSchema" xmlns:p="http://schemas.microsoft.com/office/2006/metadata/properties" xmlns:ns2="7745c7a7-133f-4c34-9e4c-dbd58bc8bdb9" targetNamespace="http://schemas.microsoft.com/office/2006/metadata/properties" ma:root="true" ma:fieldsID="1f9c7a69e65772c3c8823f08c99c3bce" ns2:_="">
    <xsd:import namespace="7745c7a7-133f-4c34-9e4c-dbd58bc8bd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45c7a7-133f-4c34-9e4c-dbd58bc8bd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mso-contentType ?>
<FormTemplates xmlns="http://schemas.microsoft.com/sharepoint/v3/contenttype/forms">
  <Display>DocumentLibraryForm</Display>
  <Edit>DocumentLibraryForm</Edit>
  <New>DocumentLibraryForm</New>
</FormTemplates>
</file>

<file path=customXml/item19.xml>��
</file>

<file path=customXml/item20.xml>��
</file>

<file path=customXml/item21.xml>��
</file>

<file path=customXml/item22.xml>��
</file>

<file path=customXml/item23.xml>��
</file>

<file path=customXml/item24.xml>��
</file>

<file path=customXml/item25.xml>��
</file>

<file path=customXml/item26.xml><?xml version="1.0" encoding="utf-8"?>
<p:properties xmlns:p="http://schemas.microsoft.com/office/2006/metadata/properties" xmlns:xsi="http://www.w3.org/2001/XMLSchema-instance" xmlns:pc="http://schemas.microsoft.com/office/infopath/2007/PartnerControls">
  <documentManagement/>
</p:properties>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A37262E6-51D8-410B-8929-0EC7DFB6B7F5}">
  <ds:schemaRefs>
    <ds:schemaRef ds:uri="http://gemini/pivotcustomization/ShowHidden"/>
  </ds:schemaRefs>
</ds:datastoreItem>
</file>

<file path=customXml/itemProps2.xml><?xml version="1.0" encoding="utf-8"?>
<ds:datastoreItem xmlns:ds="http://schemas.openxmlformats.org/officeDocument/2006/customXml" ds:itemID="{026D123E-85EB-42D0-B579-D84E4F3C67DA}">
  <ds:schemaRefs>
    <ds:schemaRef ds:uri="http://gemini/pivotcustomization/PowerPivotVersion"/>
  </ds:schemaRefs>
</ds:datastoreItem>
</file>

<file path=customXml/itemProps3.xml><?xml version="1.0" encoding="utf-8"?>
<ds:datastoreItem xmlns:ds="http://schemas.openxmlformats.org/officeDocument/2006/customXml" ds:itemID="{E1EF7591-E3A4-4809-9EA5-FF00ADD5E917}">
  <ds:schemaRefs>
    <ds:schemaRef ds:uri="http://gemini/pivotcustomization/ErrorCache"/>
  </ds:schemaRefs>
</ds:datastoreItem>
</file>

<file path=customXml/itemProps4.xml><?xml version="1.0" encoding="utf-8"?>
<ds:datastoreItem xmlns:ds="http://schemas.openxmlformats.org/officeDocument/2006/customXml" ds:itemID="{9EA2946C-983B-4F29-B362-E1AA6CBB19FC}">
  <ds:schemaRefs>
    <ds:schemaRef ds:uri="http://gemini/pivotcustomization/ClientWindowXML"/>
  </ds:schemaRefs>
</ds:datastoreItem>
</file>

<file path=customXml/itemProps5.xml><?xml version="1.0" encoding="utf-8"?>
<ds:datastoreItem xmlns:ds="http://schemas.openxmlformats.org/officeDocument/2006/customXml" ds:itemID="{7BA56CB7-544A-449A-BBCE-C611B35024A4}">
  <ds:schemaRefs>
    <ds:schemaRef ds:uri="http://gemini/pivotcustomization/TableWidget"/>
  </ds:schemaRefs>
</ds:datastoreItem>
</file>

<file path=customXml/itemProps6.xml><?xml version="1.0" encoding="utf-8"?>
<ds:datastoreItem xmlns:ds="http://schemas.openxmlformats.org/officeDocument/2006/customXml" ds:itemID="{7B5443B6-DD9B-4DF3-8495-A9EF8645FA34}">
  <ds:schemaRefs>
    <ds:schemaRef ds:uri="http://gemini/pivotcustomization/87e29f39-9721-431b-90f8-868b84021ccb"/>
  </ds:schemaRefs>
</ds:datastoreItem>
</file>

<file path=customXml/itemProps7.xml><?xml version="1.0" encoding="utf-8"?>
<ds:datastoreItem xmlns:ds="http://schemas.openxmlformats.org/officeDocument/2006/customXml" ds:itemID="{CD3293F3-8251-4B82-889B-02B798D34E60}">
  <ds:schemaRefs>
    <ds:schemaRef ds:uri="http://gemini/pivotcustomization/TableXML_tablaSAprendizaje"/>
  </ds:schemaRefs>
</ds:datastoreItem>
</file>

<file path=customXml/itemProps8.xml><?xml version="1.0" encoding="utf-8"?>
<ds:datastoreItem xmlns:ds="http://schemas.openxmlformats.org/officeDocument/2006/customXml" ds:itemID="{A81EB87F-0AC1-4DD1-93C0-37B4EA6EC899}">
  <ds:schemaRefs>
    <ds:schemaRef ds:uri="http://gemini/pivotcustomization/LinkedTableUpdateMode"/>
  </ds:schemaRefs>
</ds:datastoreItem>
</file>

<file path=customXml/itemProps9.xml><?xml version="1.0" encoding="utf-8"?>
<ds:datastoreItem xmlns:ds="http://schemas.openxmlformats.org/officeDocument/2006/customXml" ds:itemID="{208D8A11-1953-4A81-BF40-8F7629277617}">
  <ds:schemaRefs>
    <ds:schemaRef ds:uri="http://schemas.microsoft.com/office/2006/metadata/contentType"/>
    <ds:schemaRef ds:uri="http://schemas.microsoft.com/office/2006/metadata/properties/metaAttributes"/>
    <ds:schemaRef ds:uri="http://www.w3.org/2000/xmlns/"/>
    <ds:schemaRef ds:uri="http://www.w3.org/2001/XMLSchema"/>
    <ds:schemaRef ds:uri="7745c7a7-133f-4c34-9e4c-dbd58bc8bdb9"/>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0.xml><?xml version="1.0" encoding="utf-8"?>
<ds:datastoreItem xmlns:ds="http://schemas.openxmlformats.org/officeDocument/2006/customXml" ds:itemID="{82B0CFD6-1BEE-4877-B655-74FBE9E6A3C4}">
  <ds:schemaRefs>
    <ds:schemaRef ds:uri="http://gemini/pivotcustomization/RelationshipAutoDetectionEnabled"/>
  </ds:schemaRefs>
</ds:datastoreItem>
</file>

<file path=customXml/itemProps11.xml><?xml version="1.0" encoding="utf-8"?>
<ds:datastoreItem xmlns:ds="http://schemas.openxmlformats.org/officeDocument/2006/customXml" ds:itemID="{8214F78A-F4EF-448C-9A55-02ACC8B5CF13}">
  <ds:schemaRefs>
    <ds:schemaRef ds:uri="http://gemini/pivotcustomization/e7be45c5-c238-4e60-853d-ad5a8a936dcf"/>
  </ds:schemaRefs>
</ds:datastoreItem>
</file>

<file path=customXml/itemProps12.xml><?xml version="1.0" encoding="utf-8"?>
<ds:datastoreItem xmlns:ds="http://schemas.openxmlformats.org/officeDocument/2006/customXml" ds:itemID="{F7635823-A819-4BF4-BF38-27CD89C97307}">
  <ds:schemaRefs>
    <ds:schemaRef ds:uri="http://gemini/pivotcustomization/33862be1-f601-421f-980b-c996d82f6889"/>
  </ds:schemaRefs>
</ds:datastoreItem>
</file>

<file path=customXml/itemProps13.xml><?xml version="1.0" encoding="utf-8"?>
<ds:datastoreItem xmlns:ds="http://schemas.openxmlformats.org/officeDocument/2006/customXml" ds:itemID="{5FC05283-BB2E-48E6-B8AC-4466DEA1B65C}">
  <ds:schemaRefs>
    <ds:schemaRef ds:uri="http://gemini/pivotcustomization/Diagrams"/>
  </ds:schemaRefs>
</ds:datastoreItem>
</file>

<file path=customXml/itemProps14.xml><?xml version="1.0" encoding="utf-8"?>
<ds:datastoreItem xmlns:ds="http://schemas.openxmlformats.org/officeDocument/2006/customXml" ds:itemID="{C2257772-B742-4211-8F11-0AAB833B6613}">
  <ds:schemaRefs>
    <ds:schemaRef ds:uri="http://gemini/pivotcustomization/TableXML_TablaCriteriosEvaluacion"/>
  </ds:schemaRefs>
</ds:datastoreItem>
</file>

<file path=customXml/itemProps15.xml><?xml version="1.0" encoding="utf-8"?>
<ds:datastoreItem xmlns:ds="http://schemas.openxmlformats.org/officeDocument/2006/customXml" ds:itemID="{E31549FD-BB3C-4F66-8491-820E9148454F}">
  <ds:schemaRefs>
    <ds:schemaRef ds:uri="http://gemini/pivotcustomization/MeasureGridState"/>
  </ds:schemaRefs>
</ds:datastoreItem>
</file>

<file path=customXml/itemProps16.xml><?xml version="1.0" encoding="utf-8"?>
<ds:datastoreItem xmlns:ds="http://schemas.openxmlformats.org/officeDocument/2006/customXml" ds:itemID="{D0065FD4-354C-4150-9DF0-671A25F35B3E}">
  <ds:schemaRefs>
    <ds:schemaRef ds:uri="http://gemini/pivotcustomization/SandboxNonEmpty"/>
  </ds:schemaRefs>
</ds:datastoreItem>
</file>

<file path=customXml/itemProps17.xml><?xml version="1.0" encoding="utf-8"?>
<ds:datastoreItem xmlns:ds="http://schemas.openxmlformats.org/officeDocument/2006/customXml" ds:itemID="{238F3E4C-5218-43FF-8431-2A88358CE50A}">
  <ds:schemaRefs>
    <ds:schemaRef ds:uri="http://gemini/pivotcustomization/TableOrder"/>
  </ds:schemaRefs>
</ds:datastoreItem>
</file>

<file path=customXml/itemProps18.xml><?xml version="1.0" encoding="utf-8"?>
<ds:datastoreItem xmlns:ds="http://schemas.openxmlformats.org/officeDocument/2006/customXml" ds:itemID="{D4FD20EF-4B7E-4225-8010-5E339B7F2C3E}">
  <ds:schemaRefs>
    <ds:schemaRef ds:uri="http://schemas.microsoft.com/sharepoint/v3/contenttype/forms"/>
  </ds:schemaRefs>
</ds:datastoreItem>
</file>

<file path=customXml/itemProps19.xml><?xml version="1.0" encoding="utf-8"?>
<ds:datastoreItem xmlns:ds="http://schemas.openxmlformats.org/officeDocument/2006/customXml" ds:itemID="{851AEBFB-0F56-4CFE-9E3F-93CC177320C7}">
  <ds:schemaRefs>
    <ds:schemaRef ds:uri="http://gemini/pivotcustomization/ShowImplicitMeasures"/>
  </ds:schemaRefs>
</ds:datastoreItem>
</file>

<file path=customXml/itemProps20.xml><?xml version="1.0" encoding="utf-8"?>
<ds:datastoreItem xmlns:ds="http://schemas.openxmlformats.org/officeDocument/2006/customXml" ds:itemID="{DFE67194-EA93-4E52-8D55-117316E9CEE2}">
  <ds:schemaRefs>
    <ds:schemaRef ds:uri="http://gemini/pivotcustomization/ManualCalcMode"/>
  </ds:schemaRefs>
</ds:datastoreItem>
</file>

<file path=customXml/itemProps21.xml><?xml version="1.0" encoding="utf-8"?>
<ds:datastoreItem xmlns:ds="http://schemas.openxmlformats.org/officeDocument/2006/customXml" ds:itemID="{7F9C631C-734F-4AD6-96DA-D79079A742A4}">
  <ds:schemaRefs>
    <ds:schemaRef ds:uri="http://gemini/pivotcustomization/1217ffd9-2ef8-4f49-b62e-83f75866c10c"/>
  </ds:schemaRefs>
</ds:datastoreItem>
</file>

<file path=customXml/itemProps22.xml><?xml version="1.0" encoding="utf-8"?>
<ds:datastoreItem xmlns:ds="http://schemas.openxmlformats.org/officeDocument/2006/customXml" ds:itemID="{83F2EC97-F886-4020-913F-307986DB8323}">
  <ds:schemaRefs>
    <ds:schemaRef ds:uri="http://gemini/pivotcustomization/b51499e0-b680-4b43-8966-dbb4ffa44d85"/>
  </ds:schemaRefs>
</ds:datastoreItem>
</file>

<file path=customXml/itemProps23.xml><?xml version="1.0" encoding="utf-8"?>
<ds:datastoreItem xmlns:ds="http://schemas.openxmlformats.org/officeDocument/2006/customXml" ds:itemID="{93B082EC-CBB9-4387-A7A8-D6C4FA64D540}">
  <ds:schemaRefs>
    <ds:schemaRef ds:uri="http://gemini/pivotcustomization/0772555c-8cc9-43f0-bf66-f79fbefcbebb"/>
  </ds:schemaRefs>
</ds:datastoreItem>
</file>

<file path=customXml/itemProps24.xml><?xml version="1.0" encoding="utf-8"?>
<ds:datastoreItem xmlns:ds="http://schemas.openxmlformats.org/officeDocument/2006/customXml" ds:itemID="{1C3C89DE-9263-437E-91B8-786EC62CA8BD}">
  <ds:schemaRefs>
    <ds:schemaRef ds:uri="http://gemini/pivotcustomization/TableXML_TablaIndicadoresLogro"/>
  </ds:schemaRefs>
</ds:datastoreItem>
</file>

<file path=customXml/itemProps25.xml><?xml version="1.0" encoding="utf-8"?>
<ds:datastoreItem xmlns:ds="http://schemas.openxmlformats.org/officeDocument/2006/customXml" ds:itemID="{D425DC61-A1B2-41BD-8B5A-16710CF7945E}">
  <ds:schemaRefs>
    <ds:schemaRef ds:uri="http://gemini/pivotcustomization/FormulaBarState"/>
  </ds:schemaRefs>
</ds:datastoreItem>
</file>

<file path=customXml/itemProps26.xml><?xml version="1.0" encoding="utf-8"?>
<ds:datastoreItem xmlns:ds="http://schemas.openxmlformats.org/officeDocument/2006/customXml" ds:itemID="{A15864DA-FAB0-487A-80B8-9FD42BF5FF19}">
  <ds:schemaRefs>
    <ds:schemaRef ds:uri="http://schemas.microsoft.com/office/2006/metadata/properties"/>
    <ds:schemaRef ds:uri="http://www.w3.org/2000/xmlns/"/>
    <ds:schemaRef ds:uri="http://schemas.microsoft.com/office/infopath/2007/PartnerControls"/>
  </ds:schemaRefs>
</ds:datastoreItem>
</file>

<file path=customXml/itemProps27.xml><?xml version="1.0" encoding="utf-8"?>
<ds:datastoreItem xmlns:ds="http://schemas.openxmlformats.org/officeDocument/2006/customXml" ds:itemID="{29C67953-1A29-4A77-BA87-A878D2F78A97}">
  <ds:schemaRefs>
    <ds:schemaRef ds:uri="http://gemini/pivotcustomization/TableXML_TablaActividades"/>
  </ds:schemaRefs>
</ds:datastoreItem>
</file>

<file path=customXml/itemProps28.xml><?xml version="1.0" encoding="utf-8"?>
<ds:datastoreItem xmlns:ds="http://schemas.openxmlformats.org/officeDocument/2006/customXml" ds:itemID="{4D87F93D-5BC6-475E-BA8F-0191BAE5615C}">
  <ds:schemaRefs>
    <ds:schemaRef ds:uri="http://gemini/pivotcustomization/ef9b7b79-3ecf-475b-a44c-69b17db8fdbb"/>
  </ds:schemaRefs>
</ds:datastoreItem>
</file>

<file path=customXml/itemProps29.xml><?xml version="1.0" encoding="utf-8"?>
<ds:datastoreItem xmlns:ds="http://schemas.openxmlformats.org/officeDocument/2006/customXml" ds:itemID="{AEF34FA2-B176-4F85-AE54-7B18E3D95173}">
  <ds:schemaRefs>
    <ds:schemaRef ds:uri="http://gemini/pivotcustomization/IsSandboxEmbedded"/>
  </ds:schemaRefs>
</ds:datastoreItem>
</file>

<file path=customXml/itemProps30.xml><?xml version="1.0" encoding="utf-8"?>
<ds:datastoreItem xmlns:ds="http://schemas.openxmlformats.org/officeDocument/2006/customXml" ds:itemID="{796760B0-F4AF-4203-A6E5-156E29815942}">
  <ds:schemaRefs>
    <ds:schemaRef ds:uri="http://gemini/pivotcustomization/294fa884-a028-47e9-9524-5d8396cf0f21"/>
  </ds:schemaRefs>
</ds:datastoreItem>
</file>

<file path=customXml/itemProps31.xml><?xml version="1.0" encoding="utf-8"?>
<ds:datastoreItem xmlns:ds="http://schemas.openxmlformats.org/officeDocument/2006/customXml" ds:itemID="{5EC05C09-B889-4DFF-B805-0DCEB62189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2</vt:i4>
      </vt:variant>
    </vt:vector>
  </HeadingPairs>
  <TitlesOfParts>
    <vt:vector size="12" baseType="lpstr">
      <vt:lpstr>INFORMES</vt:lpstr>
      <vt:lpstr>RESUMEN</vt:lpstr>
      <vt:lpstr>SituacionesAprendizaje</vt:lpstr>
      <vt:lpstr>CriteriosEvaluación</vt:lpstr>
      <vt:lpstr>IndicadoresLogro</vt:lpstr>
      <vt:lpstr>Actividades</vt:lpstr>
      <vt:lpstr>LOMLOE</vt:lpstr>
      <vt:lpstr>TablasAuxiliares</vt:lpstr>
      <vt:lpstr>P_Aula_Datos_Generales</vt:lpstr>
      <vt:lpstr>P_Aula_SA</vt:lpstr>
      <vt:lpstr>SituacionesAprendizaje!PDIDACTICA</vt:lpstr>
      <vt:lpstr>PDIDACTICA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Ángel Pardos Blas</dc:creator>
  <cp:keywords/>
  <dc:description/>
  <cp:lastModifiedBy>ANGEL PARDOS BLAS</cp:lastModifiedBy>
  <cp:revision/>
  <dcterms:created xsi:type="dcterms:W3CDTF">2015-06-05T18:17:20Z</dcterms:created>
  <dcterms:modified xsi:type="dcterms:W3CDTF">2026-08-06T06:26:09Z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0x0101008786672AE68D0D47A5C6302FB918B32D</vt:lpwstr>
  </property>
</Properties>
</file>